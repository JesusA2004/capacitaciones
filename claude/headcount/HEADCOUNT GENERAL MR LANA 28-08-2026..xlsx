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0ACA1D9-7084-4879-AEE0-C84AE1C87022}" xr6:coauthVersionLast="47" xr6:coauthVersionMax="47" xr10:uidLastSave="{00000000-0000-0000-0000-000000000000}"/>
  <bookViews>
    <workbookView xWindow="10875" yWindow="1635" windowWidth="15555" windowHeight="10695" tabRatio="596" firstSheet="1" activeTab="1" xr2:uid="{00000000-000D-0000-FFFF-FFFF00000000}"/>
  </bookViews>
  <sheets>
    <sheet name="Q1" sheetId="1" state="hidden" r:id="rId1"/>
    <sheet name="SUCURSALES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3" l="1"/>
  <c r="M16" i="3"/>
  <c r="L16" i="3"/>
  <c r="D12" i="3"/>
  <c r="D10" i="3"/>
  <c r="D9" i="3"/>
  <c r="D8" i="3"/>
  <c r="D62" i="3"/>
  <c r="D61" i="3"/>
  <c r="D60" i="3"/>
  <c r="D59" i="3"/>
  <c r="D58" i="3"/>
  <c r="I52" i="3"/>
  <c r="D52" i="3"/>
  <c r="I51" i="3"/>
  <c r="D51" i="3"/>
  <c r="I50" i="3"/>
  <c r="D50" i="3"/>
  <c r="I49" i="3"/>
  <c r="D49" i="3"/>
  <c r="I48" i="3"/>
  <c r="D48" i="3"/>
  <c r="I42" i="3"/>
  <c r="I41" i="3"/>
  <c r="I40" i="3"/>
  <c r="I39" i="3"/>
  <c r="I38" i="3"/>
  <c r="D42" i="3"/>
  <c r="D41" i="3"/>
  <c r="D40" i="3"/>
  <c r="D39" i="3"/>
  <c r="M15" i="1"/>
  <c r="L15" i="1"/>
  <c r="I40" i="1"/>
  <c r="I39" i="1"/>
  <c r="I38" i="1"/>
  <c r="I37" i="1"/>
  <c r="D40" i="1"/>
  <c r="D39" i="1"/>
  <c r="D38" i="1"/>
  <c r="D37" i="1"/>
  <c r="D36" i="1"/>
  <c r="D30" i="1"/>
  <c r="D29" i="1"/>
  <c r="D28" i="1"/>
  <c r="D27" i="1"/>
  <c r="D26" i="1"/>
  <c r="I21" i="1"/>
  <c r="I20" i="1"/>
  <c r="I19" i="1"/>
  <c r="I18" i="1"/>
  <c r="I17" i="1"/>
  <c r="I12" i="1"/>
  <c r="I11" i="1"/>
  <c r="I10" i="1"/>
  <c r="I9" i="1"/>
  <c r="I8" i="1"/>
  <c r="D21" i="1"/>
  <c r="D20" i="1"/>
  <c r="D19" i="1"/>
  <c r="D18" i="1"/>
  <c r="D17" i="1"/>
  <c r="D12" i="1"/>
  <c r="D11" i="1"/>
  <c r="D10" i="1"/>
  <c r="D9" i="1"/>
  <c r="D8" i="1"/>
  <c r="M4" i="3"/>
  <c r="L4" i="1"/>
  <c r="I12" i="3"/>
  <c r="N16" i="3" l="1"/>
  <c r="D15" i="3"/>
  <c r="D64" i="3"/>
  <c r="I44" i="3"/>
  <c r="I54" i="3"/>
  <c r="D54" i="3"/>
  <c r="I14" i="1"/>
  <c r="I42" i="1"/>
  <c r="I23" i="1"/>
  <c r="D32" i="1"/>
  <c r="D14" i="1"/>
  <c r="D23" i="1"/>
  <c r="D42" i="1"/>
  <c r="I23" i="3"/>
  <c r="I29" i="3"/>
  <c r="I30" i="3"/>
  <c r="I31" i="3"/>
  <c r="D29" i="3"/>
  <c r="D30" i="3"/>
  <c r="D31" i="3"/>
  <c r="D32" i="3"/>
  <c r="D19" i="3"/>
  <c r="D20" i="3"/>
  <c r="I19" i="3"/>
  <c r="I20" i="3"/>
  <c r="I21" i="3"/>
  <c r="I22" i="3"/>
  <c r="I9" i="3"/>
  <c r="I10" i="3"/>
  <c r="I11" i="3"/>
  <c r="I13" i="3"/>
  <c r="O15" i="1" l="1"/>
  <c r="D22" i="3"/>
  <c r="D18" i="3"/>
  <c r="I32" i="3"/>
  <c r="I28" i="3"/>
  <c r="D28" i="3"/>
  <c r="I18" i="3"/>
  <c r="I25" i="3" s="1"/>
  <c r="I8" i="3"/>
  <c r="I34" i="3" l="1"/>
  <c r="N15" i="1"/>
  <c r="I15" i="3"/>
  <c r="D25" i="3"/>
  <c r="D34" i="3"/>
</calcChain>
</file>

<file path=xl/sharedStrings.xml><?xml version="1.0" encoding="utf-8"?>
<sst xmlns="http://schemas.openxmlformats.org/spreadsheetml/2006/main" count="234" uniqueCount="36">
  <si>
    <t>PLANTILLA Q1</t>
  </si>
  <si>
    <t>IXTLAHUACA</t>
  </si>
  <si>
    <t>MODALIDAD</t>
  </si>
  <si>
    <t>PLANTILLA AUTORIZADA</t>
  </si>
  <si>
    <t>PLANTILLA ACTUAL</t>
  </si>
  <si>
    <t>VACANTES</t>
  </si>
  <si>
    <t>GERENTE</t>
  </si>
  <si>
    <t>SUBGERENTE</t>
  </si>
  <si>
    <t>INCAPACITADOS</t>
  </si>
  <si>
    <t>CONSOLIDADO</t>
  </si>
  <si>
    <t>Totales:</t>
  </si>
  <si>
    <t>REGÌON</t>
  </si>
  <si>
    <t>CUMPLIMIENTO</t>
  </si>
  <si>
    <t>TULA DE ALLENDE</t>
  </si>
  <si>
    <t>ATLACOMULCO</t>
  </si>
  <si>
    <t>Q1</t>
  </si>
  <si>
    <t>TENANGO DEL VALLE</t>
  </si>
  <si>
    <t>SAN LUIS POTOSÍ</t>
  </si>
  <si>
    <t>MIACATLAN</t>
  </si>
  <si>
    <t>SAN JUAN DEL RÍO</t>
  </si>
  <si>
    <t>HUAMANTLA</t>
  </si>
  <si>
    <t>CÓRDOBA</t>
  </si>
  <si>
    <t>ORIZABA</t>
  </si>
  <si>
    <t>TLAXCALA</t>
  </si>
  <si>
    <t>MONICA ANA KAREN GARCIA</t>
  </si>
  <si>
    <t>GESTORES DE RUTA</t>
  </si>
  <si>
    <t>GESTOR VOLANTE</t>
  </si>
  <si>
    <t>COORDINADORA DE SUCURSAL</t>
  </si>
  <si>
    <t>GESTOR DE RUTA</t>
  </si>
  <si>
    <t>GESTOR GRUPAL</t>
  </si>
  <si>
    <t xml:space="preserve"> </t>
  </si>
  <si>
    <t xml:space="preserve">GERENTE </t>
  </si>
  <si>
    <t xml:space="preserve">CUERNAVACA </t>
  </si>
  <si>
    <t xml:space="preserve">PLANTILLA - SUCURSALES </t>
  </si>
  <si>
    <t xml:space="preserve">ATLIXCO </t>
  </si>
  <si>
    <t>Q1,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</si>
</sst>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24"/>
      <color indexed="65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color indexed="65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C2F6EC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24"/>
      <color rgb="FFC2F6EC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1F39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06A59"/>
        <bgColor rgb="FF1F3964"/>
      </patternFill>
    </fill>
    <fill>
      <patternFill patternType="solid">
        <fgColor theme="1"/>
        <bgColor rgb="FF1F3964"/>
      </patternFill>
    </fill>
    <fill>
      <patternFill patternType="solid">
        <fgColor rgb="FF106A5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1F3964"/>
      </patternFill>
    </fill>
    <fill>
      <patternFill patternType="solid">
        <fgColor theme="2" tint="-0.749992370372631"/>
        <bgColor rgb="FF1F39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 applyAlignment="1">
      <alignment horizontal="center"/>
    </xf>
    <xf numFmtId="0" fontId="0" fillId="2" borderId="0" xfId="0" applyFill="1"/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5" xfId="0" applyBorder="1"/>
    <xf numFmtId="0" fontId="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7" xfId="0" applyBorder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3" fillId="0" borderId="5" xfId="0" applyFont="1" applyBorder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7" xfId="0" applyFont="1" applyBorder="1"/>
    <xf numFmtId="0" fontId="15" fillId="0" borderId="0" xfId="0" applyFont="1"/>
    <xf numFmtId="0" fontId="9" fillId="5" borderId="6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64" fontId="16" fillId="8" borderId="0" xfId="0" applyNumberFormat="1" applyFont="1" applyFill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/>
    </xf>
    <xf numFmtId="0" fontId="1" fillId="9" borderId="5" xfId="0" applyFont="1" applyFill="1" applyBorder="1"/>
    <xf numFmtId="0" fontId="1" fillId="9" borderId="6" xfId="0" applyFont="1" applyFill="1" applyBorder="1" applyAlignment="1">
      <alignment horizontal="center"/>
    </xf>
    <xf numFmtId="0" fontId="21" fillId="9" borderId="6" xfId="0" applyFont="1" applyFill="1" applyBorder="1" applyAlignment="1">
      <alignment horizontal="center"/>
    </xf>
    <xf numFmtId="0" fontId="1" fillId="9" borderId="7" xfId="0" applyFont="1" applyFill="1" applyBorder="1"/>
    <xf numFmtId="0" fontId="1" fillId="9" borderId="0" xfId="0" applyFont="1" applyFill="1"/>
    <xf numFmtId="0" fontId="13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/>
    </xf>
    <xf numFmtId="10" fontId="14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12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10" fontId="14" fillId="4" borderId="10" xfId="0" applyNumberFormat="1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3" fillId="11" borderId="0" xfId="0" applyFont="1" applyFill="1" applyAlignment="1">
      <alignment horizontal="center"/>
    </xf>
    <xf numFmtId="0" fontId="18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8" fillId="8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right" vertical="center" wrapText="1"/>
    </xf>
    <xf numFmtId="0" fontId="18" fillId="8" borderId="10" xfId="0" applyFont="1" applyFill="1" applyBorder="1" applyAlignment="1">
      <alignment horizontal="center"/>
    </xf>
    <xf numFmtId="0" fontId="12" fillId="0" borderId="0" xfId="0" applyFont="1" applyAlignment="1">
      <alignment horizontal="right" vertical="center" wrapText="1"/>
    </xf>
    <xf numFmtId="0" fontId="9" fillId="0" borderId="9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19" fillId="5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1" fillId="9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2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2"/>
      </font>
    </dxf>
  </dxfs>
  <tableStyles count="0" defaultTableStyle="TableStyleMedium2" defaultPivotStyle="PivotStyleLight16"/>
  <colors>
    <mruColors>
      <color rgb="FF106A59"/>
      <color rgb="FFC2F6EC"/>
      <color rgb="FF1DC1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877584</xdr:colOff>
      <xdr:row>0</xdr:row>
      <xdr:rowOff>74609</xdr:rowOff>
    </xdr:from>
    <xdr:to>
      <xdr:col>6</xdr:col>
      <xdr:colOff>599326</xdr:colOff>
      <xdr:row>2</xdr:row>
      <xdr:rowOff>69029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F842DC-2E95-B904-20EA-A2B3A08CF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9944" y="74609"/>
          <a:ext cx="1509017" cy="593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457904</xdr:colOff>
      <xdr:row>0</xdr:row>
      <xdr:rowOff>96321</xdr:rowOff>
    </xdr:from>
    <xdr:to>
      <xdr:col>6</xdr:col>
      <xdr:colOff>179646</xdr:colOff>
      <xdr:row>3</xdr:row>
      <xdr:rowOff>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D47AE4-C610-4F26-9062-2AD9C23C6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2100" y="96321"/>
          <a:ext cx="1513350" cy="595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42"/>
  <sheetViews>
    <sheetView showGridLines="0" topLeftCell="A22" zoomScale="89" zoomScaleNormal="89" workbookViewId="0">
      <selection activeCell="A24" sqref="A24:D32"/>
    </sheetView>
  </sheetViews>
  <sheetFormatPr baseColWidth="10" defaultRowHeight="15" x14ac:dyDescent="0.25"/>
  <cols>
    <col min="1" max="1" width="28.28515625" customWidth="1"/>
    <col min="2" max="2" width="18.5703125" customWidth="1"/>
    <col min="3" max="3" width="18.28515625" customWidth="1"/>
    <col min="4" max="4" width="15.7109375" customWidth="1"/>
    <col min="5" max="5" width="2" customWidth="1"/>
    <col min="6" max="6" width="26.85546875" customWidth="1"/>
    <col min="7" max="7" width="17.85546875" customWidth="1"/>
    <col min="8" max="8" width="18.42578125" customWidth="1"/>
    <col min="9" max="9" width="16.7109375" customWidth="1"/>
    <col min="10" max="10" width="7.28515625" customWidth="1"/>
    <col min="11" max="11" width="20.7109375" customWidth="1"/>
    <col min="12" max="12" width="35.5703125" customWidth="1"/>
    <col min="13" max="14" width="18.42578125" customWidth="1"/>
    <col min="15" max="15" width="18.7109375" customWidth="1"/>
  </cols>
  <sheetData>
    <row r="1" spans="1:15" ht="15.75" x14ac:dyDescent="0.25">
      <c r="A1" s="50"/>
      <c r="B1" s="50"/>
      <c r="C1" s="50"/>
      <c r="D1" s="50"/>
    </row>
    <row r="2" spans="1:15" ht="31.5" x14ac:dyDescent="0.5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3" spans="1:15" s="2" customFormat="1" ht="8.1" customHeight="1" x14ac:dyDescent="0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95" customHeight="1" x14ac:dyDescent="0.25">
      <c r="A4" s="52"/>
      <c r="B4" s="52"/>
      <c r="C4" s="1"/>
      <c r="D4" s="1"/>
      <c r="L4" s="23">
        <f ca="1">TODAY()</f>
        <v>46262</v>
      </c>
    </row>
    <row r="5" spans="1:15" ht="18.75" x14ac:dyDescent="0.25">
      <c r="A5" s="1"/>
      <c r="B5" s="4"/>
      <c r="C5" s="1"/>
      <c r="D5" s="1"/>
    </row>
    <row r="6" spans="1:15" ht="21.75" thickBot="1" x14ac:dyDescent="0.4">
      <c r="A6" s="48" t="s">
        <v>1</v>
      </c>
      <c r="B6" s="48"/>
      <c r="C6" s="48"/>
      <c r="D6" s="48"/>
      <c r="F6" s="48" t="s">
        <v>32</v>
      </c>
      <c r="G6" s="48"/>
      <c r="H6" s="48"/>
      <c r="I6" s="48"/>
    </row>
    <row r="7" spans="1:15" ht="32.1" customHeight="1" thickBot="1" x14ac:dyDescent="0.3">
      <c r="A7" s="22" t="s">
        <v>2</v>
      </c>
      <c r="B7" s="20" t="s">
        <v>3</v>
      </c>
      <c r="C7" s="20" t="s">
        <v>4</v>
      </c>
      <c r="D7" s="21" t="s">
        <v>5</v>
      </c>
      <c r="F7" s="22" t="s">
        <v>2</v>
      </c>
      <c r="G7" s="20" t="s">
        <v>3</v>
      </c>
      <c r="H7" s="20" t="s">
        <v>4</v>
      </c>
      <c r="I7" s="21" t="s">
        <v>5</v>
      </c>
    </row>
    <row r="8" spans="1:15" ht="15.75" thickBot="1" x14ac:dyDescent="0.3">
      <c r="A8" s="5" t="s">
        <v>28</v>
      </c>
      <c r="B8" s="6">
        <v>6</v>
      </c>
      <c r="C8" s="6">
        <v>2</v>
      </c>
      <c r="D8" s="7">
        <f>B8-C8</f>
        <v>4</v>
      </c>
      <c r="F8" s="13" t="s">
        <v>28</v>
      </c>
      <c r="G8" s="6">
        <v>5</v>
      </c>
      <c r="H8" s="6">
        <v>4</v>
      </c>
      <c r="I8" s="7">
        <f>G8-H8</f>
        <v>1</v>
      </c>
    </row>
    <row r="9" spans="1:15" ht="15.75" thickBot="1" x14ac:dyDescent="0.3">
      <c r="A9" s="13" t="s">
        <v>26</v>
      </c>
      <c r="B9" s="6">
        <v>1</v>
      </c>
      <c r="C9" s="6">
        <v>1</v>
      </c>
      <c r="D9" s="7">
        <f>B9-C9</f>
        <v>0</v>
      </c>
      <c r="F9" s="5" t="s">
        <v>26</v>
      </c>
      <c r="G9" s="6">
        <v>1</v>
      </c>
      <c r="H9" s="6">
        <v>0</v>
      </c>
      <c r="I9" s="7">
        <f>G9-H9</f>
        <v>1</v>
      </c>
    </row>
    <row r="10" spans="1:15" ht="15.75" thickBot="1" x14ac:dyDescent="0.3">
      <c r="A10" s="13" t="s">
        <v>27</v>
      </c>
      <c r="B10" s="6">
        <v>1</v>
      </c>
      <c r="C10" s="6">
        <v>1</v>
      </c>
      <c r="D10" s="7">
        <f>B10-C10</f>
        <v>0</v>
      </c>
      <c r="F10" s="5" t="s">
        <v>27</v>
      </c>
      <c r="G10" s="6">
        <v>1</v>
      </c>
      <c r="H10" s="6">
        <v>1</v>
      </c>
      <c r="I10" s="7">
        <f>G10-H10</f>
        <v>0</v>
      </c>
    </row>
    <row r="11" spans="1:15" ht="15.75" thickBot="1" x14ac:dyDescent="0.3">
      <c r="A11" s="5" t="s">
        <v>31</v>
      </c>
      <c r="B11" s="6">
        <v>1</v>
      </c>
      <c r="C11" s="6">
        <v>1</v>
      </c>
      <c r="D11" s="7">
        <f>B11-C11</f>
        <v>0</v>
      </c>
      <c r="F11" s="5" t="s">
        <v>6</v>
      </c>
      <c r="G11" s="6">
        <v>1</v>
      </c>
      <c r="H11" s="6">
        <v>1</v>
      </c>
      <c r="I11" s="7">
        <f>G11-H11</f>
        <v>0</v>
      </c>
    </row>
    <row r="12" spans="1:15" ht="15.75" thickBot="1" x14ac:dyDescent="0.3">
      <c r="A12" s="8" t="s">
        <v>7</v>
      </c>
      <c r="B12" s="6">
        <v>1</v>
      </c>
      <c r="C12" s="6">
        <v>0</v>
      </c>
      <c r="D12" s="7">
        <f>B12-C12</f>
        <v>1</v>
      </c>
      <c r="F12" s="8" t="s">
        <v>7</v>
      </c>
      <c r="G12" s="6">
        <v>1</v>
      </c>
      <c r="H12" s="6">
        <v>1</v>
      </c>
      <c r="I12" s="7">
        <f>G12-H12</f>
        <v>0</v>
      </c>
    </row>
    <row r="13" spans="1:15" ht="19.5" thickBot="1" x14ac:dyDescent="0.35">
      <c r="A13" s="5" t="s">
        <v>8</v>
      </c>
      <c r="B13" s="46">
        <v>0</v>
      </c>
      <c r="C13" s="47"/>
      <c r="D13" s="7"/>
      <c r="F13" s="5" t="s">
        <v>8</v>
      </c>
      <c r="G13" s="46">
        <v>0</v>
      </c>
      <c r="H13" s="47"/>
      <c r="I13" s="7"/>
      <c r="K13" s="56" t="s">
        <v>9</v>
      </c>
      <c r="L13" s="56"/>
      <c r="M13" s="56"/>
      <c r="N13" s="56"/>
      <c r="O13" s="56"/>
    </row>
    <row r="14" spans="1:15" ht="27.75" customHeight="1" x14ac:dyDescent="0.25">
      <c r="B14" s="55" t="s">
        <v>10</v>
      </c>
      <c r="C14" s="55"/>
      <c r="D14" s="19">
        <f>SUM(D8:D13)</f>
        <v>5</v>
      </c>
      <c r="G14" s="55" t="s">
        <v>10</v>
      </c>
      <c r="H14" s="55"/>
      <c r="I14" s="11">
        <f>SUM(I8:I13)</f>
        <v>2</v>
      </c>
      <c r="K14" s="34" t="s">
        <v>11</v>
      </c>
      <c r="L14" s="35" t="s">
        <v>3</v>
      </c>
      <c r="M14" s="35" t="s">
        <v>4</v>
      </c>
      <c r="N14" s="34" t="s">
        <v>5</v>
      </c>
      <c r="O14" s="34" t="s">
        <v>12</v>
      </c>
    </row>
    <row r="15" spans="1:15" ht="21.75" thickBot="1" x14ac:dyDescent="0.4">
      <c r="A15" s="48" t="s">
        <v>14</v>
      </c>
      <c r="B15" s="48"/>
      <c r="C15" s="48"/>
      <c r="D15" s="48"/>
      <c r="F15" s="48" t="s">
        <v>18</v>
      </c>
      <c r="G15" s="48"/>
      <c r="H15" s="48"/>
      <c r="I15" s="48"/>
      <c r="K15" s="38" t="s">
        <v>15</v>
      </c>
      <c r="L15" s="39">
        <f>B8+B9+B10+B11+B12+B17+B18+B19+B20+B21+G8+G9+G10+G11+G12+G17+G18+G19+G20+G21+B26+B27+B28+B29+B30</f>
        <v>48</v>
      </c>
      <c r="M15" s="39">
        <f>C8+C9+C10+C11+C12+C17+C18+C19+C20+C21+C26+C27+C28+C29+C30+H17+H18+H19+H20+H21+H12+H11+H10+H9+H8</f>
        <v>39</v>
      </c>
      <c r="N15" s="36">
        <f>L15-M15</f>
        <v>9</v>
      </c>
      <c r="O15" s="37">
        <f>M15/L15</f>
        <v>0.8125</v>
      </c>
    </row>
    <row r="16" spans="1:15" ht="32.1" customHeight="1" thickBot="1" x14ac:dyDescent="0.3">
      <c r="A16" s="22" t="s">
        <v>2</v>
      </c>
      <c r="B16" s="20" t="s">
        <v>3</v>
      </c>
      <c r="C16" s="20" t="s">
        <v>4</v>
      </c>
      <c r="D16" s="21" t="s">
        <v>5</v>
      </c>
      <c r="F16" s="22" t="s">
        <v>2</v>
      </c>
      <c r="G16" s="20" t="s">
        <v>3</v>
      </c>
      <c r="H16" s="20" t="s">
        <v>4</v>
      </c>
      <c r="I16" s="21" t="s">
        <v>5</v>
      </c>
    </row>
    <row r="17" spans="1:9" ht="15.75" thickBot="1" x14ac:dyDescent="0.3">
      <c r="A17" s="5" t="s">
        <v>28</v>
      </c>
      <c r="B17" s="6">
        <v>6</v>
      </c>
      <c r="C17" s="6">
        <v>6</v>
      </c>
      <c r="D17" s="7">
        <f>B17-C17</f>
        <v>0</v>
      </c>
      <c r="F17" s="5" t="s">
        <v>28</v>
      </c>
      <c r="G17" s="6">
        <v>5</v>
      </c>
      <c r="H17" s="6">
        <v>5</v>
      </c>
      <c r="I17" s="7">
        <f>G17-H17</f>
        <v>0</v>
      </c>
    </row>
    <row r="18" spans="1:9" ht="15.75" thickBot="1" x14ac:dyDescent="0.3">
      <c r="A18" s="5" t="s">
        <v>26</v>
      </c>
      <c r="B18" s="6">
        <v>1</v>
      </c>
      <c r="C18" s="6">
        <v>1</v>
      </c>
      <c r="D18" s="7">
        <f>B18-C18</f>
        <v>0</v>
      </c>
      <c r="F18" s="5" t="s">
        <v>26</v>
      </c>
      <c r="G18" s="6">
        <v>1</v>
      </c>
      <c r="H18" s="6">
        <v>1</v>
      </c>
      <c r="I18" s="7">
        <f>G18-H18</f>
        <v>0</v>
      </c>
    </row>
    <row r="19" spans="1:9" ht="15.75" thickBot="1" x14ac:dyDescent="0.3">
      <c r="A19" s="5" t="s">
        <v>27</v>
      </c>
      <c r="B19" s="6">
        <v>1</v>
      </c>
      <c r="C19" s="6">
        <v>1</v>
      </c>
      <c r="D19" s="7">
        <f>B19-C19</f>
        <v>0</v>
      </c>
      <c r="F19" s="5" t="s">
        <v>27</v>
      </c>
      <c r="G19" s="6">
        <v>1</v>
      </c>
      <c r="H19" s="6">
        <v>1</v>
      </c>
      <c r="I19" s="7">
        <f>G19-H19</f>
        <v>0</v>
      </c>
    </row>
    <row r="20" spans="1:9" ht="15.75" thickBot="1" x14ac:dyDescent="0.3">
      <c r="A20" s="5" t="s">
        <v>6</v>
      </c>
      <c r="B20" s="6">
        <v>1</v>
      </c>
      <c r="C20" s="6">
        <v>0</v>
      </c>
      <c r="D20" s="7">
        <f>B20-C20</f>
        <v>1</v>
      </c>
      <c r="F20" s="5" t="s">
        <v>6</v>
      </c>
      <c r="G20" s="6">
        <v>1</v>
      </c>
      <c r="H20" s="6">
        <v>0</v>
      </c>
      <c r="I20" s="7">
        <f>G20-H20</f>
        <v>1</v>
      </c>
    </row>
    <row r="21" spans="1:9" ht="15.75" thickBot="1" x14ac:dyDescent="0.3">
      <c r="A21" s="8" t="s">
        <v>7</v>
      </c>
      <c r="B21" s="6">
        <v>1</v>
      </c>
      <c r="C21" s="6">
        <v>1</v>
      </c>
      <c r="D21" s="7">
        <f>B21-C21</f>
        <v>0</v>
      </c>
      <c r="F21" s="8" t="s">
        <v>7</v>
      </c>
      <c r="G21" s="6">
        <v>1</v>
      </c>
      <c r="H21" s="6">
        <v>1</v>
      </c>
      <c r="I21" s="7">
        <f>G21-H21</f>
        <v>0</v>
      </c>
    </row>
    <row r="22" spans="1:9" ht="15.75" thickBot="1" x14ac:dyDescent="0.3">
      <c r="A22" s="5" t="s">
        <v>8</v>
      </c>
      <c r="B22" s="46">
        <v>0</v>
      </c>
      <c r="C22" s="47"/>
      <c r="D22" s="7"/>
      <c r="F22" s="5" t="s">
        <v>8</v>
      </c>
      <c r="G22" s="46">
        <v>0</v>
      </c>
      <c r="H22" s="47"/>
      <c r="I22" s="7"/>
    </row>
    <row r="23" spans="1:9" ht="15" customHeight="1" x14ac:dyDescent="0.25">
      <c r="B23" s="55" t="s">
        <v>10</v>
      </c>
      <c r="C23" s="55"/>
      <c r="D23" s="12">
        <f>SUM(D17:D22)</f>
        <v>1</v>
      </c>
      <c r="G23" s="55" t="s">
        <v>10</v>
      </c>
      <c r="H23" s="55"/>
      <c r="I23" s="11">
        <f>SUM(I17:I22)</f>
        <v>1</v>
      </c>
    </row>
    <row r="24" spans="1:9" ht="21.75" thickBot="1" x14ac:dyDescent="0.4">
      <c r="A24" s="48" t="s">
        <v>17</v>
      </c>
      <c r="B24" s="48"/>
      <c r="C24" s="48"/>
      <c r="D24" s="48"/>
    </row>
    <row r="25" spans="1:9" ht="32.1" customHeight="1" thickBot="1" x14ac:dyDescent="0.3">
      <c r="A25" s="22" t="s">
        <v>2</v>
      </c>
      <c r="B25" s="20" t="s">
        <v>3</v>
      </c>
      <c r="C25" s="20" t="s">
        <v>4</v>
      </c>
      <c r="D25" s="21" t="s">
        <v>5</v>
      </c>
    </row>
    <row r="26" spans="1:9" ht="15.75" thickBot="1" x14ac:dyDescent="0.3">
      <c r="A26" s="5" t="s">
        <v>28</v>
      </c>
      <c r="B26" s="6">
        <v>6</v>
      </c>
      <c r="C26" s="6">
        <v>6</v>
      </c>
      <c r="D26" s="7">
        <f>B26-C26</f>
        <v>0</v>
      </c>
    </row>
    <row r="27" spans="1:9" ht="15.75" thickBot="1" x14ac:dyDescent="0.3">
      <c r="A27" s="5" t="s">
        <v>26</v>
      </c>
      <c r="B27" s="6">
        <v>1</v>
      </c>
      <c r="C27" s="6">
        <v>1</v>
      </c>
      <c r="D27" s="7">
        <f>B27-C27</f>
        <v>0</v>
      </c>
    </row>
    <row r="28" spans="1:9" ht="15.75" thickBot="1" x14ac:dyDescent="0.3">
      <c r="A28" s="5" t="s">
        <v>27</v>
      </c>
      <c r="B28" s="6">
        <v>1</v>
      </c>
      <c r="C28" s="6">
        <v>1</v>
      </c>
      <c r="D28" s="7">
        <f>B28-C28</f>
        <v>0</v>
      </c>
    </row>
    <row r="29" spans="1:9" ht="15.75" thickBot="1" x14ac:dyDescent="0.3">
      <c r="A29" s="5" t="s">
        <v>6</v>
      </c>
      <c r="B29" s="6">
        <v>1</v>
      </c>
      <c r="C29" s="6">
        <v>1</v>
      </c>
      <c r="D29" s="7">
        <f>B29-C29</f>
        <v>0</v>
      </c>
    </row>
    <row r="30" spans="1:9" ht="15.75" thickBot="1" x14ac:dyDescent="0.3">
      <c r="A30" s="8" t="s">
        <v>7</v>
      </c>
      <c r="B30" s="6">
        <v>1</v>
      </c>
      <c r="C30" s="6">
        <v>1</v>
      </c>
      <c r="D30" s="7">
        <f>B30-C30</f>
        <v>0</v>
      </c>
    </row>
    <row r="31" spans="1:9" ht="15.75" thickBot="1" x14ac:dyDescent="0.3">
      <c r="A31" s="5" t="s">
        <v>8</v>
      </c>
      <c r="B31" s="46">
        <v>1</v>
      </c>
      <c r="C31" s="47"/>
      <c r="D31" s="7"/>
    </row>
    <row r="32" spans="1:9" ht="15.75" x14ac:dyDescent="0.25">
      <c r="A32" s="9"/>
      <c r="B32" s="55" t="s">
        <v>10</v>
      </c>
      <c r="C32" s="55"/>
      <c r="D32" s="10">
        <f>SUM(D26:D30)</f>
        <v>0</v>
      </c>
    </row>
    <row r="34" spans="1:9" ht="21.75" thickBot="1" x14ac:dyDescent="0.4">
      <c r="A34" s="62" t="s">
        <v>19</v>
      </c>
      <c r="B34" s="62"/>
      <c r="C34" s="62"/>
      <c r="D34" s="62"/>
      <c r="F34" s="62" t="s">
        <v>16</v>
      </c>
      <c r="G34" s="62"/>
      <c r="H34" s="62"/>
      <c r="I34" s="62"/>
    </row>
    <row r="35" spans="1:9" ht="30.75" thickBot="1" x14ac:dyDescent="0.3">
      <c r="A35" s="24" t="s">
        <v>2</v>
      </c>
      <c r="B35" s="25" t="s">
        <v>3</v>
      </c>
      <c r="C35" s="25" t="s">
        <v>4</v>
      </c>
      <c r="D35" s="26" t="s">
        <v>5</v>
      </c>
      <c r="F35" s="24" t="s">
        <v>2</v>
      </c>
      <c r="G35" s="25" t="s">
        <v>3</v>
      </c>
      <c r="H35" s="25" t="s">
        <v>4</v>
      </c>
      <c r="I35" s="26" t="s">
        <v>5</v>
      </c>
    </row>
    <row r="36" spans="1:9" ht="15.75" thickBot="1" x14ac:dyDescent="0.3">
      <c r="A36" s="27" t="s">
        <v>25</v>
      </c>
      <c r="B36" s="28">
        <v>1</v>
      </c>
      <c r="C36" s="28">
        <v>1</v>
      </c>
      <c r="D36" s="29">
        <f>B36-C36</f>
        <v>0</v>
      </c>
      <c r="F36" s="27" t="s">
        <v>30</v>
      </c>
      <c r="G36" s="28">
        <v>7</v>
      </c>
      <c r="H36" s="28">
        <v>6</v>
      </c>
      <c r="I36" s="29">
        <v>0</v>
      </c>
    </row>
    <row r="37" spans="1:9" ht="15.75" thickBot="1" x14ac:dyDescent="0.3">
      <c r="A37" s="27" t="s">
        <v>26</v>
      </c>
      <c r="B37" s="28">
        <v>0</v>
      </c>
      <c r="C37" s="28">
        <v>0</v>
      </c>
      <c r="D37" s="29">
        <f>B37-C37</f>
        <v>0</v>
      </c>
      <c r="F37" s="27" t="s">
        <v>26</v>
      </c>
      <c r="G37" s="28">
        <v>1</v>
      </c>
      <c r="H37" s="28">
        <v>1</v>
      </c>
      <c r="I37" s="29">
        <f>G37-H37</f>
        <v>0</v>
      </c>
    </row>
    <row r="38" spans="1:9" ht="15.75" thickBot="1" x14ac:dyDescent="0.3">
      <c r="A38" s="27"/>
      <c r="B38" s="28">
        <v>0</v>
      </c>
      <c r="C38" s="28">
        <v>0</v>
      </c>
      <c r="D38" s="29">
        <f>B38-C38</f>
        <v>0</v>
      </c>
      <c r="F38" s="27" t="s">
        <v>27</v>
      </c>
      <c r="G38" s="28">
        <v>1</v>
      </c>
      <c r="H38" s="28">
        <v>1</v>
      </c>
      <c r="I38" s="29">
        <f>G38-H38</f>
        <v>0</v>
      </c>
    </row>
    <row r="39" spans="1:9" ht="15.75" thickBot="1" x14ac:dyDescent="0.3">
      <c r="A39" s="27" t="s">
        <v>6</v>
      </c>
      <c r="B39" s="28">
        <v>0</v>
      </c>
      <c r="C39" s="28">
        <v>0</v>
      </c>
      <c r="D39" s="29">
        <f>B39-C39</f>
        <v>0</v>
      </c>
      <c r="F39" s="27" t="s">
        <v>6</v>
      </c>
      <c r="G39" s="28">
        <v>0</v>
      </c>
      <c r="H39" s="28">
        <v>0</v>
      </c>
      <c r="I39" s="29">
        <f>G39-H39</f>
        <v>0</v>
      </c>
    </row>
    <row r="40" spans="1:9" ht="15.75" thickBot="1" x14ac:dyDescent="0.3">
      <c r="A40" s="30" t="s">
        <v>7</v>
      </c>
      <c r="B40" s="28">
        <v>0</v>
      </c>
      <c r="C40" s="28">
        <v>0</v>
      </c>
      <c r="D40" s="29">
        <f>B40-C40</f>
        <v>0</v>
      </c>
      <c r="F40" s="30" t="s">
        <v>7</v>
      </c>
      <c r="G40" s="28">
        <v>1</v>
      </c>
      <c r="H40" s="28">
        <v>1</v>
      </c>
      <c r="I40" s="29">
        <f>G40-H40</f>
        <v>0</v>
      </c>
    </row>
    <row r="41" spans="1:9" ht="15.75" thickBot="1" x14ac:dyDescent="0.3">
      <c r="A41" s="27" t="s">
        <v>8</v>
      </c>
      <c r="B41" s="63"/>
      <c r="C41" s="64"/>
      <c r="D41" s="29"/>
      <c r="F41" s="27" t="s">
        <v>8</v>
      </c>
      <c r="G41" s="63">
        <v>0</v>
      </c>
      <c r="H41" s="64"/>
      <c r="I41" s="29"/>
    </row>
    <row r="42" spans="1:9" ht="15.75" x14ac:dyDescent="0.25">
      <c r="A42" s="31"/>
      <c r="B42" s="65" t="s">
        <v>10</v>
      </c>
      <c r="C42" s="65"/>
      <c r="D42" s="33">
        <f>SUM(D36:D40)</f>
        <v>0</v>
      </c>
      <c r="F42" s="31"/>
      <c r="G42" s="65" t="s">
        <v>10</v>
      </c>
      <c r="H42" s="65"/>
      <c r="I42" s="32">
        <f>SUM(I36:I41)</f>
        <v>0</v>
      </c>
    </row>
  </sheetData>
  <mergeCells count="25">
    <mergeCell ref="F34:I34"/>
    <mergeCell ref="G41:H41"/>
    <mergeCell ref="G42:H42"/>
    <mergeCell ref="B23:C23"/>
    <mergeCell ref="G23:H23"/>
    <mergeCell ref="A24:D24"/>
    <mergeCell ref="A34:D34"/>
    <mergeCell ref="B41:C41"/>
    <mergeCell ref="B42:C42"/>
    <mergeCell ref="B32:C32"/>
    <mergeCell ref="A1:D1"/>
    <mergeCell ref="A2:O2"/>
    <mergeCell ref="A4:B4"/>
    <mergeCell ref="A6:D6"/>
    <mergeCell ref="F6:I6"/>
    <mergeCell ref="B22:C22"/>
    <mergeCell ref="B31:C31"/>
    <mergeCell ref="G13:H13"/>
    <mergeCell ref="G22:H22"/>
    <mergeCell ref="K13:O13"/>
    <mergeCell ref="B14:C14"/>
    <mergeCell ref="G14:H14"/>
    <mergeCell ref="A15:D15"/>
    <mergeCell ref="F15:I15"/>
    <mergeCell ref="B13:C13"/>
  </mergeCells>
  <conditionalFormatting sqref="D14">
    <cfRule type="cellIs" dxfId="23" priority="7" operator="greaterThanOrEqual">
      <formula>1</formula>
    </cfRule>
  </conditionalFormatting>
  <conditionalFormatting sqref="D23">
    <cfRule type="cellIs" dxfId="22" priority="6" operator="greaterThanOrEqual">
      <formula>1</formula>
    </cfRule>
  </conditionalFormatting>
  <conditionalFormatting sqref="D32">
    <cfRule type="cellIs" dxfId="21" priority="3" operator="greaterThanOrEqual">
      <formula>1</formula>
    </cfRule>
  </conditionalFormatting>
  <conditionalFormatting sqref="D42">
    <cfRule type="cellIs" dxfId="20" priority="2" operator="greaterThanOrEqual">
      <formula>1</formula>
    </cfRule>
  </conditionalFormatting>
  <conditionalFormatting sqref="I14">
    <cfRule type="cellIs" dxfId="19" priority="5" operator="greaterThanOrEqual">
      <formula>1</formula>
    </cfRule>
  </conditionalFormatting>
  <conditionalFormatting sqref="I23">
    <cfRule type="cellIs" dxfId="18" priority="4" operator="greaterThanOrEqual">
      <formula>1</formula>
    </cfRule>
  </conditionalFormatting>
  <conditionalFormatting sqref="I42">
    <cfRule type="cellIs" dxfId="17" priority="1" operator="greaterThanOrEqual">
      <formula>1</formula>
    </cfRule>
  </conditionalFormatting>
  <conditionalFormatting sqref="O15">
    <cfRule type="cellIs" dxfId="16" priority="18" operator="lessThan">
      <formula>0.7</formula>
    </cfRule>
    <cfRule type="cellIs" dxfId="15" priority="19" operator="between">
      <formula>0.7</formula>
      <formula>0.89</formula>
    </cfRule>
    <cfRule type="cellIs" dxfId="14" priority="20" operator="greaterThanOrEqual">
      <formula>0.9</formula>
    </cfRule>
  </conditionalFormatting>
  <pageMargins left="0.7" right="0.7" top="0.75" bottom="0.75" header="0.3" footer="0.3"/>
  <pageSetup paperSize="9" orientation="portrait" horizontalDpi="1200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O64"/>
  <sheetViews>
    <sheetView showGridLines="0" tabSelected="1" topLeftCell="A29" zoomScale="79" zoomScaleNormal="84" workbookViewId="0">
      <selection activeCell="F36" sqref="F36:I44"/>
    </sheetView>
  </sheetViews>
  <sheetFormatPr baseColWidth="10" defaultRowHeight="15" x14ac:dyDescent="0.25"/>
  <cols>
    <col min="1" max="1" width="26.85546875" customWidth="1"/>
    <col min="2" max="2" width="17.85546875" customWidth="1"/>
    <col min="3" max="3" width="18.42578125" customWidth="1"/>
    <col min="4" max="4" width="16.7109375" customWidth="1"/>
    <col min="5" max="5" width="2" customWidth="1"/>
    <col min="6" max="6" width="26.85546875" customWidth="1"/>
    <col min="7" max="7" width="17.85546875" customWidth="1"/>
    <col min="8" max="8" width="18.42578125" customWidth="1"/>
    <col min="9" max="9" width="16.7109375" customWidth="1"/>
    <col min="10" max="10" width="5.140625" customWidth="1"/>
    <col min="11" max="11" width="16" customWidth="1"/>
    <col min="12" max="12" width="27.7109375" customWidth="1"/>
    <col min="13" max="13" width="38.7109375" customWidth="1"/>
    <col min="14" max="14" width="18.42578125" customWidth="1"/>
    <col min="15" max="15" width="18.7109375" customWidth="1"/>
  </cols>
  <sheetData>
    <row r="1" spans="1:15" ht="15.75" x14ac:dyDescent="0.25">
      <c r="A1" s="50"/>
      <c r="B1" s="50"/>
      <c r="C1" s="50"/>
      <c r="D1" s="50"/>
    </row>
    <row r="2" spans="1:15" ht="31.5" x14ac:dyDescent="0.5">
      <c r="A2" s="51" t="s">
        <v>33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s="2" customFormat="1" ht="8.1" customHeight="1" x14ac:dyDescent="0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26.25" customHeight="1" x14ac:dyDescent="0.25">
      <c r="A4" s="52" t="s">
        <v>24</v>
      </c>
      <c r="B4" s="52"/>
      <c r="C4" s="1"/>
      <c r="D4" s="1"/>
      <c r="M4" s="54">
        <f ca="1">TODAY()</f>
        <v>46262</v>
      </c>
    </row>
    <row r="5" spans="1:15" ht="18.75" x14ac:dyDescent="0.25">
      <c r="A5" s="1"/>
      <c r="B5" s="4"/>
      <c r="C5" s="1"/>
      <c r="D5" s="1"/>
      <c r="M5" s="54"/>
    </row>
    <row r="6" spans="1:15" ht="21.75" thickBot="1" x14ac:dyDescent="0.4">
      <c r="A6" s="48" t="s">
        <v>34</v>
      </c>
      <c r="B6" s="48"/>
      <c r="C6" s="48"/>
      <c r="D6" s="48"/>
      <c r="F6" s="48" t="s">
        <v>21</v>
      </c>
      <c r="G6" s="48"/>
      <c r="H6" s="48"/>
      <c r="I6" s="48"/>
    </row>
    <row r="7" spans="1:15" ht="32.1" customHeight="1" thickBot="1" x14ac:dyDescent="0.3">
      <c r="A7" s="22" t="s">
        <v>2</v>
      </c>
      <c r="B7" s="20" t="s">
        <v>3</v>
      </c>
      <c r="C7" s="20" t="s">
        <v>4</v>
      </c>
      <c r="D7" s="21" t="s">
        <v>5</v>
      </c>
      <c r="F7" s="22" t="s">
        <v>2</v>
      </c>
      <c r="G7" s="20" t="s">
        <v>3</v>
      </c>
      <c r="H7" s="20" t="s">
        <v>4</v>
      </c>
      <c r="I7" s="21" t="s">
        <v>5</v>
      </c>
    </row>
    <row r="8" spans="1:15" ht="15.75" thickBot="1" x14ac:dyDescent="0.3">
      <c r="A8" s="5" t="s">
        <v>25</v>
      </c>
      <c r="B8" s="6">
        <v>5</v>
      </c>
      <c r="C8" s="6">
        <v>4</v>
      </c>
      <c r="D8" s="7">
        <f>B8-C8</f>
        <v>1</v>
      </c>
      <c r="F8" s="5" t="s">
        <v>25</v>
      </c>
      <c r="G8" s="6">
        <v>14</v>
      </c>
      <c r="H8" s="6">
        <v>14</v>
      </c>
      <c r="I8" s="7">
        <f t="shared" ref="I8:I13" si="0">G8-H8</f>
        <v>0</v>
      </c>
    </row>
    <row r="9" spans="1:15" ht="15.75" thickBot="1" x14ac:dyDescent="0.3">
      <c r="A9" s="5" t="s">
        <v>26</v>
      </c>
      <c r="B9" s="6">
        <v>0</v>
      </c>
      <c r="C9" s="6">
        <v>0</v>
      </c>
      <c r="D9" s="7">
        <f>B9-C9</f>
        <v>0</v>
      </c>
      <c r="F9" s="5" t="s">
        <v>26</v>
      </c>
      <c r="G9" s="6">
        <v>1</v>
      </c>
      <c r="H9" s="6">
        <v>1</v>
      </c>
      <c r="I9" s="7">
        <f t="shared" si="0"/>
        <v>0</v>
      </c>
      <c r="K9" s="49"/>
      <c r="L9" s="49"/>
      <c r="M9" s="49"/>
    </row>
    <row r="10" spans="1:15" ht="15.75" thickBot="1" x14ac:dyDescent="0.3">
      <c r="A10" s="5" t="s">
        <v>27</v>
      </c>
      <c r="B10" s="6">
        <v>0</v>
      </c>
      <c r="C10" s="6">
        <v>0</v>
      </c>
      <c r="D10" s="7">
        <f>B10-C10</f>
        <v>0</v>
      </c>
      <c r="F10" s="5" t="s">
        <v>27</v>
      </c>
      <c r="G10" s="6">
        <v>1</v>
      </c>
      <c r="H10" s="6">
        <v>1</v>
      </c>
      <c r="I10" s="7">
        <f t="shared" si="0"/>
        <v>0</v>
      </c>
      <c r="K10" s="49"/>
      <c r="L10" s="49"/>
      <c r="M10" s="49"/>
    </row>
    <row r="11" spans="1:15" ht="15.75" thickBot="1" x14ac:dyDescent="0.3">
      <c r="A11" s="5" t="s">
        <v>6</v>
      </c>
      <c r="B11" s="6">
        <v>1</v>
      </c>
      <c r="C11" s="6">
        <v>1</v>
      </c>
      <c r="D11" s="7">
        <v>0</v>
      </c>
      <c r="F11" s="5" t="s">
        <v>6</v>
      </c>
      <c r="G11" s="6">
        <v>1</v>
      </c>
      <c r="H11" s="6">
        <v>1</v>
      </c>
      <c r="I11" s="7">
        <f t="shared" si="0"/>
        <v>0</v>
      </c>
      <c r="K11" s="49"/>
      <c r="L11" s="49"/>
      <c r="M11" s="49"/>
    </row>
    <row r="12" spans="1:15" ht="15.75" thickBot="1" x14ac:dyDescent="0.3">
      <c r="A12" s="8" t="s">
        <v>7</v>
      </c>
      <c r="B12" s="6">
        <v>1</v>
      </c>
      <c r="C12" s="6">
        <v>0</v>
      </c>
      <c r="D12" s="7">
        <f>B12-C12</f>
        <v>1</v>
      </c>
      <c r="F12" s="8" t="s">
        <v>7</v>
      </c>
      <c r="G12" s="6">
        <v>1</v>
      </c>
      <c r="H12" s="6">
        <v>1</v>
      </c>
      <c r="I12" s="7">
        <f t="shared" si="0"/>
        <v>0</v>
      </c>
    </row>
    <row r="13" spans="1:15" ht="15.75" thickBot="1" x14ac:dyDescent="0.3">
      <c r="A13" s="5" t="s">
        <v>8</v>
      </c>
      <c r="B13" s="46">
        <v>1</v>
      </c>
      <c r="C13" s="47"/>
      <c r="D13" s="7"/>
      <c r="F13" s="16" t="s">
        <v>29</v>
      </c>
      <c r="G13" s="6">
        <v>2</v>
      </c>
      <c r="H13" s="6">
        <v>2</v>
      </c>
      <c r="I13" s="7">
        <f t="shared" si="0"/>
        <v>0</v>
      </c>
    </row>
    <row r="14" spans="1:15" ht="19.5" thickBot="1" x14ac:dyDescent="0.35">
      <c r="B14" s="15"/>
      <c r="C14" s="15"/>
      <c r="D14" s="14"/>
      <c r="F14" s="5" t="s">
        <v>8</v>
      </c>
      <c r="G14" s="46">
        <v>0</v>
      </c>
      <c r="H14" s="47"/>
      <c r="I14" s="7"/>
      <c r="K14" s="56" t="s">
        <v>9</v>
      </c>
      <c r="L14" s="56"/>
      <c r="M14" s="56"/>
      <c r="N14" s="56"/>
      <c r="O14" s="56"/>
    </row>
    <row r="15" spans="1:15" ht="22.5" customHeight="1" x14ac:dyDescent="0.25">
      <c r="B15" s="57" t="s">
        <v>10</v>
      </c>
      <c r="C15" s="57"/>
      <c r="D15" s="12">
        <f>SUM(D8:D13)</f>
        <v>2</v>
      </c>
      <c r="G15" s="55" t="s">
        <v>10</v>
      </c>
      <c r="H15" s="55"/>
      <c r="I15" s="11">
        <f>SUM(I8:I13)</f>
        <v>0</v>
      </c>
      <c r="K15" s="44" t="s">
        <v>11</v>
      </c>
      <c r="L15" s="43" t="s">
        <v>3</v>
      </c>
      <c r="M15" s="43" t="s">
        <v>4</v>
      </c>
      <c r="N15" s="44" t="s">
        <v>5</v>
      </c>
      <c r="O15" s="44" t="s">
        <v>12</v>
      </c>
    </row>
    <row r="16" spans="1:15" ht="21.75" thickBot="1" x14ac:dyDescent="0.4">
      <c r="A16" s="48" t="s">
        <v>20</v>
      </c>
      <c r="B16" s="48"/>
      <c r="C16" s="48"/>
      <c r="D16" s="48"/>
      <c r="F16" s="48" t="s">
        <v>22</v>
      </c>
      <c r="G16" s="48"/>
      <c r="H16" s="48"/>
      <c r="I16" s="48"/>
      <c r="K16" s="39" t="s">
        <v>35</v>
      </c>
      <c r="L16" s="38">
        <f>B8+B9+B10+B11+B12+G8+G9+G10+G11+G12+G13+G18+G20+G21+G22+G23+G19+B19+B20+B18+B21+B22+B28+B29+B30+B31+B32+G28+G29+G30+G31+G32+G39+G38+G40+G41+G42+B38+B39+B40+B41+B42+B49+B50+B48+B52+B51+G52+G51+G50+G49+G48+B58+B60+B59+B61+B62</f>
        <v>123</v>
      </c>
      <c r="M16" s="39">
        <f>C8+C9+C10+C11+C12+H8+H9+H10+H11+H12+H13+C18+C19+C21+C20+C22+H18+H19+H20+H21+H22+H23+H28+H30+H29+H31+H32+C28+C29+C30+C31+C32+C38+C39+C40+C41+C42+H38+H39+H40+H41+H42+H48+H49+H50+H52+H51+C48+C49+C50+C51+C52+C58+C59+C60+C61+C62</f>
        <v>104</v>
      </c>
      <c r="N16" s="36">
        <f>L16-M16</f>
        <v>19</v>
      </c>
      <c r="O16" s="45">
        <v>0.879</v>
      </c>
    </row>
    <row r="17" spans="1:13" ht="32.1" customHeight="1" thickBot="1" x14ac:dyDescent="0.3">
      <c r="A17" s="22" t="s">
        <v>2</v>
      </c>
      <c r="B17" s="20" t="s">
        <v>3</v>
      </c>
      <c r="C17" s="20" t="s">
        <v>4</v>
      </c>
      <c r="D17" s="21" t="s">
        <v>5</v>
      </c>
      <c r="F17" s="22" t="s">
        <v>2</v>
      </c>
      <c r="G17" s="20" t="s">
        <v>3</v>
      </c>
      <c r="H17" s="20" t="s">
        <v>4</v>
      </c>
      <c r="I17" s="21" t="s">
        <v>5</v>
      </c>
    </row>
    <row r="18" spans="1:13" ht="15.75" thickBot="1" x14ac:dyDescent="0.3">
      <c r="A18" s="5" t="s">
        <v>25</v>
      </c>
      <c r="B18" s="6">
        <v>6</v>
      </c>
      <c r="C18" s="6">
        <v>6</v>
      </c>
      <c r="D18" s="7">
        <f>B18-C18</f>
        <v>0</v>
      </c>
      <c r="F18" s="5" t="s">
        <v>25</v>
      </c>
      <c r="G18" s="6">
        <v>15</v>
      </c>
      <c r="H18" s="6">
        <v>15</v>
      </c>
      <c r="I18" s="7">
        <f t="shared" ref="I18:I23" si="1">G18-H18</f>
        <v>0</v>
      </c>
    </row>
    <row r="19" spans="1:13" ht="15.75" thickBot="1" x14ac:dyDescent="0.3">
      <c r="A19" s="5" t="s">
        <v>26</v>
      </c>
      <c r="B19" s="6">
        <v>1</v>
      </c>
      <c r="C19" s="6">
        <v>1</v>
      </c>
      <c r="D19" s="7">
        <f>B19-C19</f>
        <v>0</v>
      </c>
      <c r="F19" s="5" t="s">
        <v>26</v>
      </c>
      <c r="G19" s="6">
        <v>1</v>
      </c>
      <c r="H19" s="6">
        <v>1</v>
      </c>
      <c r="I19" s="7">
        <f t="shared" si="1"/>
        <v>0</v>
      </c>
    </row>
    <row r="20" spans="1:13" ht="15.75" thickBot="1" x14ac:dyDescent="0.3">
      <c r="A20" s="5" t="s">
        <v>27</v>
      </c>
      <c r="B20" s="6">
        <v>1</v>
      </c>
      <c r="C20" s="6">
        <v>1</v>
      </c>
      <c r="D20" s="7">
        <f>B20-C20</f>
        <v>0</v>
      </c>
      <c r="F20" s="5" t="s">
        <v>27</v>
      </c>
      <c r="G20" s="6">
        <v>1</v>
      </c>
      <c r="H20" s="6">
        <v>1</v>
      </c>
      <c r="I20" s="7">
        <f t="shared" si="1"/>
        <v>0</v>
      </c>
    </row>
    <row r="21" spans="1:13" ht="15.75" thickBot="1" x14ac:dyDescent="0.3">
      <c r="A21" s="5" t="s">
        <v>6</v>
      </c>
      <c r="B21" s="6">
        <v>1</v>
      </c>
      <c r="C21" s="6">
        <v>1</v>
      </c>
      <c r="D21" s="7">
        <v>0</v>
      </c>
      <c r="F21" s="5" t="s">
        <v>6</v>
      </c>
      <c r="G21" s="6">
        <v>1</v>
      </c>
      <c r="H21" s="6">
        <v>1</v>
      </c>
      <c r="I21" s="7">
        <f t="shared" si="1"/>
        <v>0</v>
      </c>
      <c r="K21" s="53"/>
      <c r="L21" s="53"/>
    </row>
    <row r="22" spans="1:13" ht="15.75" thickBot="1" x14ac:dyDescent="0.3">
      <c r="A22" s="8" t="s">
        <v>7</v>
      </c>
      <c r="B22" s="6">
        <v>1</v>
      </c>
      <c r="C22" s="6">
        <v>1</v>
      </c>
      <c r="D22" s="7">
        <f>B22-C22</f>
        <v>0</v>
      </c>
      <c r="F22" s="8" t="s">
        <v>7</v>
      </c>
      <c r="G22" s="6">
        <v>1</v>
      </c>
      <c r="H22" s="6">
        <v>1</v>
      </c>
      <c r="I22" s="7">
        <f t="shared" si="1"/>
        <v>0</v>
      </c>
    </row>
    <row r="23" spans="1:13" ht="15.75" thickBot="1" x14ac:dyDescent="0.3">
      <c r="A23" s="5" t="s">
        <v>8</v>
      </c>
      <c r="B23" s="46">
        <v>0</v>
      </c>
      <c r="C23" s="47"/>
      <c r="D23" s="7"/>
      <c r="F23" s="8" t="s">
        <v>29</v>
      </c>
      <c r="G23" s="6">
        <v>2</v>
      </c>
      <c r="H23" s="6">
        <v>2</v>
      </c>
      <c r="I23" s="7">
        <f t="shared" si="1"/>
        <v>0</v>
      </c>
    </row>
    <row r="24" spans="1:13" ht="15.75" thickBot="1" x14ac:dyDescent="0.3">
      <c r="B24" s="15"/>
      <c r="C24" s="15"/>
      <c r="D24" s="14"/>
      <c r="F24" s="5" t="s">
        <v>8</v>
      </c>
      <c r="G24" s="46">
        <v>0</v>
      </c>
      <c r="H24" s="47"/>
      <c r="I24" s="7"/>
      <c r="M24" s="17"/>
    </row>
    <row r="25" spans="1:13" ht="15" customHeight="1" x14ac:dyDescent="0.25">
      <c r="B25" s="57" t="s">
        <v>10</v>
      </c>
      <c r="C25" s="57"/>
      <c r="D25" s="12">
        <f>SUM(D18:D23)</f>
        <v>0</v>
      </c>
      <c r="G25" s="57" t="s">
        <v>10</v>
      </c>
      <c r="H25" s="57"/>
      <c r="I25" s="12">
        <f>SUM(I18:I23)</f>
        <v>0</v>
      </c>
    </row>
    <row r="26" spans="1:13" ht="21.75" thickBot="1" x14ac:dyDescent="0.4">
      <c r="A26" s="48" t="s">
        <v>13</v>
      </c>
      <c r="B26" s="48"/>
      <c r="C26" s="48"/>
      <c r="D26" s="48"/>
      <c r="F26" s="48" t="s">
        <v>23</v>
      </c>
      <c r="G26" s="48"/>
      <c r="H26" s="48"/>
      <c r="I26" s="48"/>
    </row>
    <row r="27" spans="1:13" ht="32.1" customHeight="1" thickBot="1" x14ac:dyDescent="0.3">
      <c r="A27" s="22" t="s">
        <v>2</v>
      </c>
      <c r="B27" s="20" t="s">
        <v>3</v>
      </c>
      <c r="C27" s="20" t="s">
        <v>4</v>
      </c>
      <c r="D27" s="21" t="s">
        <v>5</v>
      </c>
      <c r="F27" s="22" t="s">
        <v>2</v>
      </c>
      <c r="G27" s="20" t="s">
        <v>3</v>
      </c>
      <c r="H27" s="20" t="s">
        <v>4</v>
      </c>
      <c r="I27" s="21" t="s">
        <v>5</v>
      </c>
    </row>
    <row r="28" spans="1:13" ht="15.75" thickBot="1" x14ac:dyDescent="0.3">
      <c r="A28" s="5" t="s">
        <v>25</v>
      </c>
      <c r="B28" s="18">
        <v>6</v>
      </c>
      <c r="C28" s="6">
        <v>6</v>
      </c>
      <c r="D28" s="7">
        <f>B28-C28</f>
        <v>0</v>
      </c>
      <c r="F28" s="5" t="s">
        <v>25</v>
      </c>
      <c r="G28" s="6">
        <v>6</v>
      </c>
      <c r="H28" s="6">
        <v>6</v>
      </c>
      <c r="I28" s="7">
        <f>G28-H28</f>
        <v>0</v>
      </c>
    </row>
    <row r="29" spans="1:13" ht="15.75" thickBot="1" x14ac:dyDescent="0.3">
      <c r="A29" s="5" t="s">
        <v>26</v>
      </c>
      <c r="B29" s="6">
        <v>1</v>
      </c>
      <c r="C29" s="6">
        <v>0</v>
      </c>
      <c r="D29" s="7">
        <f>B29-C29</f>
        <v>1</v>
      </c>
      <c r="F29" s="5" t="s">
        <v>26</v>
      </c>
      <c r="G29" s="6">
        <v>1</v>
      </c>
      <c r="H29" s="6">
        <v>1</v>
      </c>
      <c r="I29" s="7">
        <f>G29-H29</f>
        <v>0</v>
      </c>
      <c r="K29" s="60"/>
      <c r="L29" s="60"/>
      <c r="M29" s="60"/>
    </row>
    <row r="30" spans="1:13" ht="15.75" customHeight="1" thickBot="1" x14ac:dyDescent="0.3">
      <c r="A30" s="5" t="s">
        <v>27</v>
      </c>
      <c r="B30" s="6">
        <v>1</v>
      </c>
      <c r="C30" s="6">
        <v>1</v>
      </c>
      <c r="D30" s="7">
        <f>B30-C30</f>
        <v>0</v>
      </c>
      <c r="F30" s="5" t="s">
        <v>27</v>
      </c>
      <c r="G30" s="6">
        <v>1</v>
      </c>
      <c r="H30" s="6">
        <v>1</v>
      </c>
      <c r="I30" s="7">
        <f>G30-H30</f>
        <v>0</v>
      </c>
      <c r="K30" s="60"/>
      <c r="L30" s="60"/>
      <c r="M30" s="60"/>
    </row>
    <row r="31" spans="1:13" ht="15.75" thickBot="1" x14ac:dyDescent="0.3">
      <c r="A31" s="5" t="s">
        <v>6</v>
      </c>
      <c r="B31" s="6">
        <v>1</v>
      </c>
      <c r="C31" s="6">
        <v>1</v>
      </c>
      <c r="D31" s="7">
        <f>B31-C31</f>
        <v>0</v>
      </c>
      <c r="F31" s="5" t="s">
        <v>6</v>
      </c>
      <c r="G31" s="6">
        <v>1</v>
      </c>
      <c r="H31" s="6">
        <v>1</v>
      </c>
      <c r="I31" s="7">
        <f>G31-H31</f>
        <v>0</v>
      </c>
      <c r="K31" s="60"/>
      <c r="L31" s="60"/>
      <c r="M31" s="60"/>
    </row>
    <row r="32" spans="1:13" ht="15.75" thickBot="1" x14ac:dyDescent="0.3">
      <c r="A32" s="8" t="s">
        <v>7</v>
      </c>
      <c r="B32" s="6">
        <v>1</v>
      </c>
      <c r="C32" s="6">
        <v>0</v>
      </c>
      <c r="D32" s="7">
        <f>B32-C32</f>
        <v>1</v>
      </c>
      <c r="F32" s="8" t="s">
        <v>7</v>
      </c>
      <c r="G32" s="6">
        <v>1</v>
      </c>
      <c r="H32" s="6">
        <v>1</v>
      </c>
      <c r="I32" s="7">
        <f>G32-H32</f>
        <v>0</v>
      </c>
      <c r="K32" s="60"/>
      <c r="L32" s="60"/>
      <c r="M32" s="60"/>
    </row>
    <row r="33" spans="1:9" ht="15.75" thickBot="1" x14ac:dyDescent="0.3">
      <c r="A33" s="5" t="s">
        <v>8</v>
      </c>
      <c r="B33" s="58">
        <v>0</v>
      </c>
      <c r="C33" s="59"/>
      <c r="D33" s="7"/>
      <c r="F33" s="5" t="s">
        <v>8</v>
      </c>
      <c r="G33" s="46">
        <v>0</v>
      </c>
      <c r="H33" s="47"/>
      <c r="I33" s="7"/>
    </row>
    <row r="34" spans="1:9" ht="15.75" x14ac:dyDescent="0.25">
      <c r="B34" s="55" t="s">
        <v>10</v>
      </c>
      <c r="C34" s="55"/>
      <c r="D34" s="11">
        <f>SUM(D27:D32)</f>
        <v>2</v>
      </c>
      <c r="G34" s="55" t="s">
        <v>10</v>
      </c>
      <c r="H34" s="55"/>
      <c r="I34" s="12">
        <f>SUM(I28:I32)</f>
        <v>0</v>
      </c>
    </row>
    <row r="36" spans="1:9" ht="21.75" thickBot="1" x14ac:dyDescent="0.4">
      <c r="A36" s="48" t="s">
        <v>1</v>
      </c>
      <c r="B36" s="48"/>
      <c r="C36" s="48"/>
      <c r="D36" s="48"/>
      <c r="F36" s="48" t="s">
        <v>32</v>
      </c>
      <c r="G36" s="48"/>
      <c r="H36" s="48"/>
      <c r="I36" s="48"/>
    </row>
    <row r="37" spans="1:9" ht="30.75" thickBot="1" x14ac:dyDescent="0.3">
      <c r="A37" s="22" t="s">
        <v>2</v>
      </c>
      <c r="B37" s="20" t="s">
        <v>3</v>
      </c>
      <c r="C37" s="20" t="s">
        <v>4</v>
      </c>
      <c r="D37" s="21" t="s">
        <v>5</v>
      </c>
      <c r="F37" s="22" t="s">
        <v>2</v>
      </c>
      <c r="G37" s="20" t="s">
        <v>3</v>
      </c>
      <c r="H37" s="20" t="s">
        <v>4</v>
      </c>
      <c r="I37" s="21" t="s">
        <v>5</v>
      </c>
    </row>
    <row r="38" spans="1:9" ht="15.75" thickBot="1" x14ac:dyDescent="0.3">
      <c r="A38" s="5" t="s">
        <v>28</v>
      </c>
      <c r="B38" s="6">
        <v>6</v>
      </c>
      <c r="C38" s="6">
        <v>3</v>
      </c>
      <c r="D38" s="7">
        <f>B38-C38</f>
        <v>3</v>
      </c>
      <c r="F38" s="13" t="s">
        <v>28</v>
      </c>
      <c r="G38" s="6">
        <v>5</v>
      </c>
      <c r="H38" s="6">
        <v>3</v>
      </c>
      <c r="I38" s="7">
        <f>G38-H38</f>
        <v>2</v>
      </c>
    </row>
    <row r="39" spans="1:9" ht="15.75" thickBot="1" x14ac:dyDescent="0.3">
      <c r="A39" s="13" t="s">
        <v>26</v>
      </c>
      <c r="B39" s="6">
        <v>0</v>
      </c>
      <c r="C39" s="6">
        <v>0</v>
      </c>
      <c r="D39" s="7">
        <f>B39-C39</f>
        <v>0</v>
      </c>
      <c r="F39" s="5" t="s">
        <v>26</v>
      </c>
      <c r="G39" s="6">
        <v>0</v>
      </c>
      <c r="H39" s="6">
        <v>0</v>
      </c>
      <c r="I39" s="7">
        <f>G39-H39</f>
        <v>0</v>
      </c>
    </row>
    <row r="40" spans="1:9" ht="15.75" thickBot="1" x14ac:dyDescent="0.3">
      <c r="A40" s="13" t="s">
        <v>27</v>
      </c>
      <c r="B40" s="6">
        <v>1</v>
      </c>
      <c r="C40" s="6">
        <v>1</v>
      </c>
      <c r="D40" s="7">
        <f>B40-C40</f>
        <v>0</v>
      </c>
      <c r="F40" s="5" t="s">
        <v>27</v>
      </c>
      <c r="G40" s="6">
        <v>1</v>
      </c>
      <c r="H40" s="6">
        <v>1</v>
      </c>
      <c r="I40" s="7">
        <f>G40-H40</f>
        <v>0</v>
      </c>
    </row>
    <row r="41" spans="1:9" ht="15.75" thickBot="1" x14ac:dyDescent="0.3">
      <c r="A41" s="5" t="s">
        <v>31</v>
      </c>
      <c r="B41" s="6">
        <v>1</v>
      </c>
      <c r="C41" s="6">
        <v>1</v>
      </c>
      <c r="D41" s="7">
        <f>B41-C41</f>
        <v>0</v>
      </c>
      <c r="F41" s="5" t="s">
        <v>6</v>
      </c>
      <c r="G41" s="6">
        <v>1</v>
      </c>
      <c r="H41" s="6">
        <v>0</v>
      </c>
      <c r="I41" s="7">
        <f>G41-H41</f>
        <v>1</v>
      </c>
    </row>
    <row r="42" spans="1:9" ht="15.75" thickBot="1" x14ac:dyDescent="0.3">
      <c r="A42" s="8" t="s">
        <v>7</v>
      </c>
      <c r="B42" s="6">
        <v>1</v>
      </c>
      <c r="C42" s="6">
        <v>0</v>
      </c>
      <c r="D42" s="7">
        <f>B42-C42</f>
        <v>1</v>
      </c>
      <c r="F42" s="8" t="s">
        <v>7</v>
      </c>
      <c r="G42" s="6">
        <v>1</v>
      </c>
      <c r="H42" s="6">
        <v>1</v>
      </c>
      <c r="I42" s="7">
        <f>G42-H42</f>
        <v>0</v>
      </c>
    </row>
    <row r="43" spans="1:9" ht="15.75" thickBot="1" x14ac:dyDescent="0.3">
      <c r="A43" s="5" t="s">
        <v>8</v>
      </c>
      <c r="B43" s="41">
        <v>0</v>
      </c>
      <c r="C43" s="42"/>
      <c r="D43" s="7"/>
      <c r="F43" s="5" t="s">
        <v>8</v>
      </c>
      <c r="G43" s="41">
        <v>0</v>
      </c>
      <c r="H43" s="42"/>
      <c r="I43" s="7"/>
    </row>
    <row r="44" spans="1:9" ht="15.75" x14ac:dyDescent="0.25">
      <c r="B44" s="40" t="s">
        <v>10</v>
      </c>
      <c r="C44" s="40"/>
      <c r="D44" s="19">
        <v>3</v>
      </c>
      <c r="G44" s="40" t="s">
        <v>10</v>
      </c>
      <c r="H44" s="40"/>
      <c r="I44" s="11">
        <f>SUM(I38:I43)</f>
        <v>3</v>
      </c>
    </row>
    <row r="46" spans="1:9" ht="21.75" thickBot="1" x14ac:dyDescent="0.4">
      <c r="A46" s="48" t="s">
        <v>14</v>
      </c>
      <c r="B46" s="48"/>
      <c r="C46" s="48"/>
      <c r="D46" s="48"/>
      <c r="F46" s="48" t="s">
        <v>18</v>
      </c>
      <c r="G46" s="48"/>
      <c r="H46" s="48"/>
      <c r="I46" s="48"/>
    </row>
    <row r="47" spans="1:9" ht="30.75" thickBot="1" x14ac:dyDescent="0.3">
      <c r="A47" s="22" t="s">
        <v>2</v>
      </c>
      <c r="B47" s="20" t="s">
        <v>3</v>
      </c>
      <c r="C47" s="20" t="s">
        <v>4</v>
      </c>
      <c r="D47" s="21" t="s">
        <v>5</v>
      </c>
      <c r="F47" s="22" t="s">
        <v>2</v>
      </c>
      <c r="G47" s="20" t="s">
        <v>3</v>
      </c>
      <c r="H47" s="20" t="s">
        <v>4</v>
      </c>
      <c r="I47" s="21" t="s">
        <v>5</v>
      </c>
    </row>
    <row r="48" spans="1:9" ht="15.75" thickBot="1" x14ac:dyDescent="0.3">
      <c r="A48" s="5" t="s">
        <v>28</v>
      </c>
      <c r="B48" s="6">
        <v>6</v>
      </c>
      <c r="C48" s="6">
        <v>4</v>
      </c>
      <c r="D48" s="7">
        <f>B48-C48</f>
        <v>2</v>
      </c>
      <c r="F48" s="5" t="s">
        <v>28</v>
      </c>
      <c r="G48" s="6">
        <v>5</v>
      </c>
      <c r="H48" s="6">
        <v>5</v>
      </c>
      <c r="I48" s="7">
        <f>G48-H48</f>
        <v>0</v>
      </c>
    </row>
    <row r="49" spans="1:9" ht="15.75" thickBot="1" x14ac:dyDescent="0.3">
      <c r="A49" s="5" t="s">
        <v>26</v>
      </c>
      <c r="B49" s="6">
        <v>0</v>
      </c>
      <c r="C49" s="6">
        <v>0</v>
      </c>
      <c r="D49" s="7">
        <f>B49-C49</f>
        <v>0</v>
      </c>
      <c r="F49" s="5" t="s">
        <v>26</v>
      </c>
      <c r="G49" s="6">
        <v>1</v>
      </c>
      <c r="H49" s="6">
        <v>0</v>
      </c>
      <c r="I49" s="7">
        <f>G49-H49</f>
        <v>1</v>
      </c>
    </row>
    <row r="50" spans="1:9" ht="15.75" thickBot="1" x14ac:dyDescent="0.3">
      <c r="A50" s="5" t="s">
        <v>27</v>
      </c>
      <c r="B50" s="6">
        <v>1</v>
      </c>
      <c r="C50" s="6">
        <v>1</v>
      </c>
      <c r="D50" s="7">
        <f>B50-C50</f>
        <v>0</v>
      </c>
      <c r="F50" s="5" t="s">
        <v>27</v>
      </c>
      <c r="G50" s="6">
        <v>1</v>
      </c>
      <c r="H50" s="6">
        <v>1</v>
      </c>
      <c r="I50" s="7">
        <f>G50-H50</f>
        <v>0</v>
      </c>
    </row>
    <row r="51" spans="1:9" ht="15.75" thickBot="1" x14ac:dyDescent="0.3">
      <c r="A51" s="5" t="s">
        <v>6</v>
      </c>
      <c r="B51" s="6">
        <v>1</v>
      </c>
      <c r="C51" s="6">
        <v>0</v>
      </c>
      <c r="D51" s="7">
        <f>B51-C51</f>
        <v>1</v>
      </c>
      <c r="F51" s="5" t="s">
        <v>6</v>
      </c>
      <c r="G51" s="6">
        <v>1</v>
      </c>
      <c r="H51" s="6">
        <v>0</v>
      </c>
      <c r="I51" s="7">
        <f>G51-H51</f>
        <v>1</v>
      </c>
    </row>
    <row r="52" spans="1:9" ht="15.75" thickBot="1" x14ac:dyDescent="0.3">
      <c r="A52" s="8" t="s">
        <v>7</v>
      </c>
      <c r="B52" s="6">
        <v>1</v>
      </c>
      <c r="C52" s="6">
        <v>1</v>
      </c>
      <c r="D52" s="7">
        <f>B52-C52</f>
        <v>0</v>
      </c>
      <c r="F52" s="8" t="s">
        <v>7</v>
      </c>
      <c r="G52" s="6">
        <v>1</v>
      </c>
      <c r="H52" s="6">
        <v>0</v>
      </c>
      <c r="I52" s="7">
        <f>G52-H52</f>
        <v>1</v>
      </c>
    </row>
    <row r="53" spans="1:9" ht="15.75" thickBot="1" x14ac:dyDescent="0.3">
      <c r="A53" s="5" t="s">
        <v>8</v>
      </c>
      <c r="B53" s="41">
        <v>0</v>
      </c>
      <c r="C53" s="42"/>
      <c r="D53" s="7"/>
      <c r="F53" s="5" t="s">
        <v>8</v>
      </c>
      <c r="G53" s="41">
        <v>0</v>
      </c>
      <c r="H53" s="42"/>
      <c r="I53" s="7"/>
    </row>
    <row r="54" spans="1:9" ht="15.75" x14ac:dyDescent="0.25">
      <c r="B54" s="40" t="s">
        <v>10</v>
      </c>
      <c r="C54" s="40"/>
      <c r="D54" s="12">
        <f>SUM(D48:D53)</f>
        <v>3</v>
      </c>
      <c r="G54" s="40" t="s">
        <v>10</v>
      </c>
      <c r="H54" s="40"/>
      <c r="I54" s="11">
        <f>SUM(I48:I53)</f>
        <v>3</v>
      </c>
    </row>
    <row r="56" spans="1:9" ht="21.75" thickBot="1" x14ac:dyDescent="0.4">
      <c r="A56" s="48" t="s">
        <v>17</v>
      </c>
      <c r="B56" s="48"/>
      <c r="C56" s="48"/>
      <c r="D56" s="48"/>
    </row>
    <row r="57" spans="1:9" ht="30.75" thickBot="1" x14ac:dyDescent="0.3">
      <c r="A57" s="22" t="s">
        <v>2</v>
      </c>
      <c r="B57" s="20" t="s">
        <v>3</v>
      </c>
      <c r="C57" s="20" t="s">
        <v>4</v>
      </c>
      <c r="D57" s="21" t="s">
        <v>5</v>
      </c>
    </row>
    <row r="58" spans="1:9" ht="15.75" thickBot="1" x14ac:dyDescent="0.3">
      <c r="A58" s="5" t="s">
        <v>28</v>
      </c>
      <c r="B58" s="6">
        <v>6</v>
      </c>
      <c r="C58" s="6">
        <v>6</v>
      </c>
      <c r="D58" s="7">
        <f>B58-C58</f>
        <v>0</v>
      </c>
    </row>
    <row r="59" spans="1:9" ht="15.75" thickBot="1" x14ac:dyDescent="0.3">
      <c r="A59" s="5" t="s">
        <v>26</v>
      </c>
      <c r="B59" s="6">
        <v>1</v>
      </c>
      <c r="C59" s="6">
        <v>0</v>
      </c>
      <c r="D59" s="7">
        <f>B59-C59</f>
        <v>1</v>
      </c>
    </row>
    <row r="60" spans="1:9" ht="15.75" thickBot="1" x14ac:dyDescent="0.3">
      <c r="A60" s="5" t="s">
        <v>27</v>
      </c>
      <c r="B60" s="6">
        <v>1</v>
      </c>
      <c r="C60" s="6">
        <v>1</v>
      </c>
      <c r="D60" s="7">
        <f>B60-C60</f>
        <v>0</v>
      </c>
    </row>
    <row r="61" spans="1:9" ht="15.75" thickBot="1" x14ac:dyDescent="0.3">
      <c r="A61" s="5" t="s">
        <v>6</v>
      </c>
      <c r="B61" s="6">
        <v>1</v>
      </c>
      <c r="C61" s="6">
        <v>1</v>
      </c>
      <c r="D61" s="7">
        <f>B61-C61</f>
        <v>0</v>
      </c>
    </row>
    <row r="62" spans="1:9" ht="15.75" thickBot="1" x14ac:dyDescent="0.3">
      <c r="A62" s="8" t="s">
        <v>7</v>
      </c>
      <c r="B62" s="6">
        <v>1</v>
      </c>
      <c r="C62" s="6">
        <v>0</v>
      </c>
      <c r="D62" s="7">
        <f>B62-C62</f>
        <v>1</v>
      </c>
    </row>
    <row r="63" spans="1:9" ht="15.75" thickBot="1" x14ac:dyDescent="0.3">
      <c r="A63" s="5" t="s">
        <v>8</v>
      </c>
      <c r="B63" s="46">
        <v>0</v>
      </c>
      <c r="C63" s="47"/>
      <c r="D63" s="7"/>
    </row>
    <row r="64" spans="1:9" ht="15.75" x14ac:dyDescent="0.25">
      <c r="A64" s="9"/>
      <c r="B64" s="40" t="s">
        <v>10</v>
      </c>
      <c r="C64" s="40"/>
      <c r="D64" s="10">
        <f>SUM(D58:D62)</f>
        <v>2</v>
      </c>
    </row>
  </sheetData>
  <mergeCells count="32">
    <mergeCell ref="B34:C34"/>
    <mergeCell ref="G34:H34"/>
    <mergeCell ref="K14:O14"/>
    <mergeCell ref="B15:C15"/>
    <mergeCell ref="G15:H15"/>
    <mergeCell ref="A16:D16"/>
    <mergeCell ref="F16:I16"/>
    <mergeCell ref="G14:H14"/>
    <mergeCell ref="B33:C33"/>
    <mergeCell ref="G33:H33"/>
    <mergeCell ref="G24:H24"/>
    <mergeCell ref="B25:C25"/>
    <mergeCell ref="G25:H25"/>
    <mergeCell ref="A26:D26"/>
    <mergeCell ref="F26:I26"/>
    <mergeCell ref="K29:M32"/>
    <mergeCell ref="K9:M11"/>
    <mergeCell ref="B23:C23"/>
    <mergeCell ref="A1:D1"/>
    <mergeCell ref="A2:O2"/>
    <mergeCell ref="A4:B4"/>
    <mergeCell ref="A6:D6"/>
    <mergeCell ref="F6:I6"/>
    <mergeCell ref="K21:L21"/>
    <mergeCell ref="M4:M5"/>
    <mergeCell ref="B13:C13"/>
    <mergeCell ref="B63:C63"/>
    <mergeCell ref="A36:D36"/>
    <mergeCell ref="F36:I36"/>
    <mergeCell ref="A46:D46"/>
    <mergeCell ref="F46:I46"/>
    <mergeCell ref="A56:D56"/>
  </mergeCells>
  <conditionalFormatting sqref="D15">
    <cfRule type="cellIs" dxfId="13" priority="1" operator="greaterThanOrEqual">
      <formula>1</formula>
    </cfRule>
  </conditionalFormatting>
  <conditionalFormatting sqref="D25">
    <cfRule type="cellIs" dxfId="12" priority="7" operator="greaterThanOrEqual">
      <formula>1</formula>
    </cfRule>
  </conditionalFormatting>
  <conditionalFormatting sqref="D34">
    <cfRule type="cellIs" dxfId="11" priority="14" operator="greaterThanOrEqual">
      <formula>1</formula>
    </cfRule>
  </conditionalFormatting>
  <conditionalFormatting sqref="D44">
    <cfRule type="cellIs" dxfId="10" priority="6" operator="greaterThanOrEqual">
      <formula>1</formula>
    </cfRule>
  </conditionalFormatting>
  <conditionalFormatting sqref="D54">
    <cfRule type="cellIs" dxfId="9" priority="4" operator="greaterThanOrEqual">
      <formula>1</formula>
    </cfRule>
  </conditionalFormatting>
  <conditionalFormatting sqref="D64">
    <cfRule type="cellIs" dxfId="8" priority="2" operator="greaterThanOrEqual">
      <formula>1</formula>
    </cfRule>
  </conditionalFormatting>
  <conditionalFormatting sqref="I15">
    <cfRule type="cellIs" dxfId="7" priority="13" operator="greaterThanOrEqual">
      <formula>1</formula>
    </cfRule>
  </conditionalFormatting>
  <conditionalFormatting sqref="I25">
    <cfRule type="cellIs" dxfId="6" priority="12" operator="greaterThanOrEqual">
      <formula>1</formula>
    </cfRule>
  </conditionalFormatting>
  <conditionalFormatting sqref="I34">
    <cfRule type="cellIs" dxfId="5" priority="8" operator="greaterThanOrEqual">
      <formula>1</formula>
    </cfRule>
  </conditionalFormatting>
  <conditionalFormatting sqref="I44">
    <cfRule type="cellIs" dxfId="4" priority="5" operator="greaterThanOrEqual">
      <formula>1</formula>
    </cfRule>
  </conditionalFormatting>
  <conditionalFormatting sqref="I54">
    <cfRule type="cellIs" dxfId="3" priority="3" operator="greaterThanOrEqual">
      <formula>1</formula>
    </cfRule>
  </conditionalFormatting>
  <conditionalFormatting sqref="O16">
    <cfRule type="cellIs" dxfId="2" priority="9" operator="lessThan">
      <formula>0.7</formula>
    </cfRule>
    <cfRule type="cellIs" dxfId="1" priority="10" operator="between">
      <formula>0.7</formula>
      <formula>0.89</formula>
    </cfRule>
    <cfRule type="cellIs" dxfId="0" priority="11" operator="greaterThanOrEqual">
      <formula>0.9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Q1</vt:lpstr>
      <vt:lpstr>SUCURSALES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82</cp:revision>
  <cp:lastPrinted>2026-08-01T00:24:57Z</cp:lastPrinted>
  <dcterms:created xsi:type="dcterms:W3CDTF">2023-06-01T00:56:35Z</dcterms:created>
  <dcterms:modified xsi:type="dcterms:W3CDTF">2026-08-29T01:18:43Z</dcterms:modified>
</cp:coreProperties>
</file>