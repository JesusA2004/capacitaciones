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cursos humanos\Desktop\"/>
    </mc:Choice>
  </mc:AlternateContent>
  <xr:revisionPtr revIDLastSave="0" documentId="13_ncr:1_{E4F1E0B7-4C01-42AD-86A3-E131A37571B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rabajadores" sheetId="1" r:id="rId1"/>
    <sheet name="Resumen" sheetId="2" r:id="rId2"/>
  </sheets>
  <definedNames>
    <definedName name="_xlnm._FilterDatabase" localSheetId="0" hidden="1">Trabajadores!$A$4:$G$104</definedName>
    <definedName name="_xlnm.Print_Area" localSheetId="0">Trabajadores!$A$1:$F$104</definedName>
    <definedName name="_xlnm.Print_Titles" localSheetId="0">Trabajadores!$4:$4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8" i="1" l="1"/>
  <c r="F105" i="1"/>
  <c r="F120" i="1"/>
  <c r="F121" i="1"/>
  <c r="F122" i="1"/>
  <c r="F123" i="1"/>
  <c r="F124" i="1"/>
  <c r="F125" i="1"/>
  <c r="F126" i="1"/>
  <c r="F127" i="1"/>
  <c r="F128" i="1"/>
  <c r="F129" i="1"/>
  <c r="F119" i="1"/>
  <c r="F117" i="1"/>
  <c r="F116" i="1"/>
  <c r="F115" i="1"/>
  <c r="F113" i="1"/>
  <c r="F114" i="1"/>
  <c r="F112" i="1"/>
  <c r="F111" i="1"/>
  <c r="F110" i="1"/>
  <c r="F109" i="1"/>
  <c r="F108" i="1"/>
  <c r="F107" i="1"/>
  <c r="F106" i="1"/>
  <c r="F12" i="1" l="1"/>
  <c r="F71" i="1"/>
  <c r="F72" i="1"/>
  <c r="F5" i="1"/>
  <c r="F8" i="1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1" i="1"/>
  <c r="F10" i="1"/>
  <c r="F9" i="1"/>
  <c r="F7" i="1"/>
  <c r="F6" i="1"/>
  <c r="F10" i="2" l="1"/>
  <c r="G14" i="2"/>
  <c r="G11" i="2"/>
  <c r="G15" i="2"/>
  <c r="G8" i="2"/>
  <c r="G9" i="2"/>
  <c r="F6" i="2"/>
  <c r="F12" i="2"/>
  <c r="F7" i="2"/>
  <c r="F13" i="2"/>
  <c r="G10" i="2"/>
  <c r="D16" i="2"/>
  <c r="F8" i="2"/>
  <c r="F11" i="2"/>
  <c r="F14" i="2"/>
  <c r="B16" i="2"/>
  <c r="B18" i="2" s="1"/>
  <c r="F9" i="2"/>
  <c r="F15" i="2"/>
  <c r="G7" i="2"/>
  <c r="G12" i="2"/>
  <c r="G13" i="2"/>
  <c r="C16" i="2"/>
  <c r="E16" i="2"/>
  <c r="G6" i="2"/>
  <c r="F5" i="2"/>
  <c r="G5" i="2"/>
  <c r="G16" i="2" l="1"/>
  <c r="F16" i="2"/>
</calcChain>
</file>

<file path=xl/sharedStrings.xml><?xml version="1.0" encoding="utf-8"?>
<sst xmlns="http://schemas.openxmlformats.org/spreadsheetml/2006/main" count="313" uniqueCount="185">
  <si>
    <t>ACTUALIZADO DE VACACIONES</t>
  </si>
  <si>
    <t>NOMBRE COMPLETO</t>
  </si>
  <si>
    <t>SUCURSAL</t>
  </si>
  <si>
    <t>FECHA INGRESO</t>
  </si>
  <si>
    <t>DIAS OTORGADOS</t>
  </si>
  <si>
    <t>DIAS TOMADOS</t>
  </si>
  <si>
    <t>DÍAS RESTANTES</t>
  </si>
  <si>
    <t>LEYENDA</t>
  </si>
  <si>
    <t>ANGELICA AZUCENA GONZALEZ</t>
  </si>
  <si>
    <t>ATLACOMULC</t>
  </si>
  <si>
    <t>PERSONAL DE INGRESO EN 2026</t>
  </si>
  <si>
    <t>ELIOT SERRANO SANCHEZ</t>
  </si>
  <si>
    <t>10 o más días restantes</t>
  </si>
  <si>
    <t>LUIS ANGEL CRUZ VELAZQUEZ</t>
  </si>
  <si>
    <t>Vacaciones agotadas (0)</t>
  </si>
  <si>
    <t>JOSE GUADALUPE CAMACHO</t>
  </si>
  <si>
    <t>Días tomados mayores a otorgados</t>
  </si>
  <si>
    <t>LUIS CARLOS LOVERA CASIMIRO</t>
  </si>
  <si>
    <t>LUIS ANGEL LOPEZ RAMIREZ</t>
  </si>
  <si>
    <t>ATLIXCO</t>
  </si>
  <si>
    <t>SAUL VALERIO VALENTIN</t>
  </si>
  <si>
    <t>DAVID GAMBOA CANO</t>
  </si>
  <si>
    <t>JORGE IVAN FUENTES PASTRANA</t>
  </si>
  <si>
    <t>RAFAEL PEREZ CHAO</t>
  </si>
  <si>
    <t>RAMSES LEONIDES ROJAS PEREZ</t>
  </si>
  <si>
    <t>JOAQUIN GENIS SANCHEZ</t>
  </si>
  <si>
    <t>RICARDO ROCHA MORA</t>
  </si>
  <si>
    <t>CORDOBA</t>
  </si>
  <si>
    <t>ERNESTO LOPEZ LOPEZ</t>
  </si>
  <si>
    <t>ISAIT DANIEL REYES DE LOS</t>
  </si>
  <si>
    <t>HESIQUIO MARTINEZ ZUÑIGA</t>
  </si>
  <si>
    <t>HEIDY ORTIZ MENDEZ</t>
  </si>
  <si>
    <t>BERENICE JUAREZ TEMOXTLE</t>
  </si>
  <si>
    <t>JOSE ALFREDO JIMENEZ FLORES</t>
  </si>
  <si>
    <t>JUAN FERNANDO ACEVEDO</t>
  </si>
  <si>
    <t>CARLOS ALBERTO MONTALVO</t>
  </si>
  <si>
    <t>MIGUEL ANGEL TREJO PERALTA</t>
  </si>
  <si>
    <t>JESUS ERICK CACHO URIBE</t>
  </si>
  <si>
    <t>ALEJANDRO REYES PEREA</t>
  </si>
  <si>
    <t>JESUS IVAN PORRAS CORONA</t>
  </si>
  <si>
    <t>MIGUEL ALONSO RAMIREZ</t>
  </si>
  <si>
    <t>LORENZO VAZQUEZ AGUILLEN</t>
  </si>
  <si>
    <t>ANGEL DE JESUS RODRIGUEZ</t>
  </si>
  <si>
    <t>JOSE MIGUEL ALONSO MARTINEZ</t>
  </si>
  <si>
    <t>GABRIELA GAMBOA PEREZ</t>
  </si>
  <si>
    <t>MARIBEL DIAZ SUAREZ</t>
  </si>
  <si>
    <t>CUERNAVACA</t>
  </si>
  <si>
    <t>GUADALUPE MODESTO OCAMPO</t>
  </si>
  <si>
    <t>VERONICA ELIZABETH LOZADA</t>
  </si>
  <si>
    <t>JUAN ELADIO ANDRADE</t>
  </si>
  <si>
    <t>JAIME VALVERDE ERIVES</t>
  </si>
  <si>
    <t>ROBERTO GALICIA VELAZQUEZ</t>
  </si>
  <si>
    <t>HUAMANTLA</t>
  </si>
  <si>
    <t>ROSALINDA MARIBEL CUELLAR</t>
  </si>
  <si>
    <t>ISAAC SACRAMENTO HERNANDEZ</t>
  </si>
  <si>
    <t>JUAN ANGEL GONZALEZ RUIZ</t>
  </si>
  <si>
    <t>PHOL RAMIREZ HERNANDEZ</t>
  </si>
  <si>
    <t>MIGUEL SANTIAGO ORTIZ</t>
  </si>
  <si>
    <t>MARCOS ANGEL VEDE LUNA</t>
  </si>
  <si>
    <t>ANA LAURA SANCHEZ ALDAMA</t>
  </si>
  <si>
    <t>IXTLAHUACA</t>
  </si>
  <si>
    <t>LUIS GARAY PEREZ</t>
  </si>
  <si>
    <t>GABRIEL JIMENEZ LOPEZ</t>
  </si>
  <si>
    <t>RAFAEL GIL MEJIA</t>
  </si>
  <si>
    <t>YIMI JAVIER CASTILLEJOS</t>
  </si>
  <si>
    <t>ISMAEL MEDINA BALDERAS</t>
  </si>
  <si>
    <t>MARIA FLOR LOPEZ CORTES</t>
  </si>
  <si>
    <t>MIACATLAN</t>
  </si>
  <si>
    <t>MONICA OCAMPO NIETO</t>
  </si>
  <si>
    <t>DAVID NAVARRO PONCIANO</t>
  </si>
  <si>
    <t>JOSE OMAR GONZALEZ HUERTA</t>
  </si>
  <si>
    <t>PEDRO TAMARINDO COLIN</t>
  </si>
  <si>
    <t>EMMANUEL ZARATE REZA</t>
  </si>
  <si>
    <t>FRANCISCO DANIEL MURILLO</t>
  </si>
  <si>
    <t>ALEJANDRA ROSAS JUAREZ</t>
  </si>
  <si>
    <t>ORIZABA</t>
  </si>
  <si>
    <t>LIZETTE ALEJANDRA AGUILAR</t>
  </si>
  <si>
    <t>EDER ISAI GABRIEL AMADOR</t>
  </si>
  <si>
    <t>MARGARITA JAZMIN NOLASCO</t>
  </si>
  <si>
    <t>EVA CRISTINA SANCHEZ</t>
  </si>
  <si>
    <t>FELIPE ADRIÁN PATIÑO</t>
  </si>
  <si>
    <t>MAURICIO VELAZQUEZ CECILIO</t>
  </si>
  <si>
    <t>GRISELDA MARCELINO PELLICO</t>
  </si>
  <si>
    <t>ALEJANDRO RIVERA DEL VALLE</t>
  </si>
  <si>
    <t>IVAN QUEVEDO LOPEZ</t>
  </si>
  <si>
    <t>LUIS ANTONIO HERRERA ROSAS</t>
  </si>
  <si>
    <t>ENRIQUE HERNANDEZ CARDENAS</t>
  </si>
  <si>
    <t>ELISEO ACEVEDO MENDEZ</t>
  </si>
  <si>
    <t>GUIDO HUMBERTO RUIZ ROQUE</t>
  </si>
  <si>
    <t>JESUS ADRIAN CADENA</t>
  </si>
  <si>
    <t>LUIS ALBERTO CASTAÑEDA</t>
  </si>
  <si>
    <t>JESUS LOZADA GUILLEN</t>
  </si>
  <si>
    <t>JULIO RODRIGUEZ MARTINEZ</t>
  </si>
  <si>
    <t>MARCOS HERNANDEZ</t>
  </si>
  <si>
    <t>RAFAEL JACOBO HERRERA</t>
  </si>
  <si>
    <t>SAN LUIS P</t>
  </si>
  <si>
    <t>MAYRA ROSARIO AVILA</t>
  </si>
  <si>
    <t>MERCEDES RODRIGUEZ CAMPOS</t>
  </si>
  <si>
    <t>CARLOS ARTURO JUAREZ LOPEZ</t>
  </si>
  <si>
    <t>DIEGO GIOVANN ALFARO</t>
  </si>
  <si>
    <t>JOSE DE JESUS GARCIA GARCIA</t>
  </si>
  <si>
    <t>JOSE JUAN MUÑOZ VAZQUEZ</t>
  </si>
  <si>
    <t>TLAXCALA</t>
  </si>
  <si>
    <t>ANDRES RAYON SAN JUAN</t>
  </si>
  <si>
    <t>ISAIAS FARIAS BONILLA</t>
  </si>
  <si>
    <t>EDEN DIAZ VAZQUEZ</t>
  </si>
  <si>
    <t>MARICELA FLORES CABRERA</t>
  </si>
  <si>
    <t>JUAN CARLOS FIBELA BAEZ</t>
  </si>
  <si>
    <t>CLAUDIA IVETTE ZETINA AKE</t>
  </si>
  <si>
    <t>TOMAS PEREZ PEREZ</t>
  </si>
  <si>
    <t>MARLEN RAZO SALDAÑA</t>
  </si>
  <si>
    <t>FRANCISCO GARCIA IXTLAPALE</t>
  </si>
  <si>
    <t>MONICA ANA KAREN GARCIA</t>
  </si>
  <si>
    <t>TULA</t>
  </si>
  <si>
    <t>DIANA BORGES BRISEÑO</t>
  </si>
  <si>
    <t>GERSON MALDONADO MARTINEZ</t>
  </si>
  <si>
    <t>LIDIA MONTSERRAT JIMENEZ</t>
  </si>
  <si>
    <t>ADRIAN DIAZ MENA</t>
  </si>
  <si>
    <t>EDUARDO TREJO OLGUIN</t>
  </si>
  <si>
    <t>ERICK JUAN PEREZ</t>
  </si>
  <si>
    <t>ERICK PALOMO ORTIZ</t>
  </si>
  <si>
    <t>MARIA DEL CARMEN GODOY</t>
  </si>
  <si>
    <t>EDGAR EDUARDO PEREZ BONILLA</t>
  </si>
  <si>
    <t>RESUMEN DE VACACIONES POR SUCURSAL</t>
  </si>
  <si>
    <t>TRABAJADORES</t>
  </si>
  <si>
    <t>INGRESOS 2026</t>
  </si>
  <si>
    <t>DÍAS OTORGADOS</t>
  </si>
  <si>
    <t>DÍAS TOMADOS</t>
  </si>
  <si>
    <t>% USADO</t>
  </si>
  <si>
    <t>TOTAL</t>
  </si>
  <si>
    <t>Control: trabajadores hoja vs. resumen</t>
  </si>
  <si>
    <t>Los totales se calculan con fórmulas desde la hoja Trabajadores (texto verde = vínculo a otra hoja).</t>
  </si>
  <si>
    <t>SALARIO DIARIO</t>
  </si>
  <si>
    <t>ZURIEL AVILA MARTINEZ</t>
  </si>
  <si>
    <t>03/10/2016</t>
  </si>
  <si>
    <t>MARTHA ELENA MEJÍA MORA</t>
  </si>
  <si>
    <t>29/06/2021</t>
  </si>
  <si>
    <t>OSCAR GUERRERO DÍAZ</t>
  </si>
  <si>
    <t>30/05/2022</t>
  </si>
  <si>
    <t>ALONSO GÓMEZ PÉREZ</t>
  </si>
  <si>
    <t>JUAN MANUEL PANTALEÓN CRUZ</t>
  </si>
  <si>
    <t>09/12/2022</t>
  </si>
  <si>
    <t>NORMA ANGELICA JIMENEZ</t>
  </si>
  <si>
    <t>29/05/2023</t>
  </si>
  <si>
    <t>KEVIN EMMANUEL HERNANDEZ</t>
  </si>
  <si>
    <t>18/01/2024</t>
  </si>
  <si>
    <t>DOMINGA MACARIA CANTÚ</t>
  </si>
  <si>
    <t>14/02/2024</t>
  </si>
  <si>
    <t>ANGELICA LIBREROS SANDOVAL</t>
  </si>
  <si>
    <t>01/10/2025</t>
  </si>
  <si>
    <t>DANIELA DOMINGUEZ</t>
  </si>
  <si>
    <t>15/08/2022</t>
  </si>
  <si>
    <t>WENDY JANNETE FLORES</t>
  </si>
  <si>
    <t>22/04/2024</t>
  </si>
  <si>
    <t>JOSE ALBERTO CARLOS BUENO</t>
  </si>
  <si>
    <t>12/02/2024</t>
  </si>
  <si>
    <t>LUZ ELENA FIGUEROA</t>
  </si>
  <si>
    <t>13/07/2022</t>
  </si>
  <si>
    <t>SAMUEL ANTONIO DIAZ ARIAS</t>
  </si>
  <si>
    <t>23/07/2024</t>
  </si>
  <si>
    <t>JENNIFER ZULEIMA  ZAVALETA</t>
  </si>
  <si>
    <t>29/01/2025</t>
  </si>
  <si>
    <t>ANGELES LIZBETH   SOTELO</t>
  </si>
  <si>
    <t>28/04/2025</t>
  </si>
  <si>
    <t>JAFET JOSAFAT GARCIA</t>
  </si>
  <si>
    <t>19/05/2025</t>
  </si>
  <si>
    <t>DANA JUAREZ HERNANDEZ</t>
  </si>
  <si>
    <t>07/08/2025</t>
  </si>
  <si>
    <t>EDUARDO   RODRIGIUEZ</t>
  </si>
  <si>
    <t>01/09/2025</t>
  </si>
  <si>
    <t>JESUS ARIZMENDI MAYA</t>
  </si>
  <si>
    <t>01/12/2025</t>
  </si>
  <si>
    <t>SARA CORE  LOPEZ PICASSO</t>
  </si>
  <si>
    <t>23/03/2026</t>
  </si>
  <si>
    <t>MARIBEL SOLANO MARTINEZ</t>
  </si>
  <si>
    <t>11/05/2026</t>
  </si>
  <si>
    <t>DENISE SARAI DE LA SANCHA</t>
  </si>
  <si>
    <t>06/07/2026</t>
  </si>
  <si>
    <t>LETICIA CABALLERO GONZALEZ</t>
  </si>
  <si>
    <t>01/07/2026</t>
  </si>
  <si>
    <t>MARIANA GOMEZ POPOCA</t>
  </si>
  <si>
    <t>14/07/2026</t>
  </si>
  <si>
    <t>BLANCA CECILIA CRUZ RUIZ</t>
  </si>
  <si>
    <t>19/08/2026</t>
  </si>
  <si>
    <t>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</si>
</sst>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sz val="9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9"/>
      <name val="Arial"/>
      <charset val="1"/>
    </font>
    <font>
      <i/>
      <sz val="8"/>
      <color rgb="FF7F7F7F"/>
      <name val="Arial"/>
      <charset val="1"/>
    </font>
    <font>
      <sz val="8"/>
      <color rgb="FF000000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D6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E2EFDA"/>
        <bgColor rgb="FFDCE6F2"/>
      </patternFill>
    </fill>
    <fill>
      <patternFill patternType="solid">
        <fgColor theme="4" tint="0.79989013336588644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EEF2F8"/>
        <b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0" fontId="5" fillId="0" borderId="0" xfId="0" applyFont="1"/>
    <xf numFmtId="0" fontId="0" fillId="4" borderId="1" xfId="0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4" fillId="6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833C0B"/>
        <name val="Arial"/>
        <charset val="1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5700"/>
      <rgbColor rgb="FF800080"/>
      <rgbColor rgb="FF008080"/>
      <rgbColor rgb="FFBFBFBF"/>
      <rgbColor rgb="FF7F7F7F"/>
      <rgbColor rgb="FF9999FF"/>
      <rgbColor rgb="FFC0504D"/>
      <rgbColor rgb="FFEEF2F8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595959"/>
      <rgbColor rgb="FFB3B3B3"/>
      <rgbColor rgb="FF1F3864"/>
      <rgbColor rgb="FF4F81BD"/>
      <rgbColor rgb="FF003300"/>
      <rgbColor rgb="FF333300"/>
      <rgbColor rgb="FF833C0B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Días otorgados, tomados y restantes por sucursal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Resumen!$D$4</c:f>
              <c:strCache>
                <c:ptCount val="1"/>
                <c:pt idx="0">
                  <c:v>DÍAS OTORGADOS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Resumen!$A$5:$A$15</c:f>
              <c:strCache>
                <c:ptCount val="11"/>
                <c:pt idx="0">
                  <c:v>ATLACOMULC</c:v>
                </c:pt>
                <c:pt idx="1">
                  <c:v>ATLIXCO</c:v>
                </c:pt>
                <c:pt idx="2">
                  <c:v>CORDOBA</c:v>
                </c:pt>
                <c:pt idx="3">
                  <c:v>CUERNAVACA</c:v>
                </c:pt>
                <c:pt idx="4">
                  <c:v>HUAMANTLA</c:v>
                </c:pt>
                <c:pt idx="5">
                  <c:v>IXTLAHUACA</c:v>
                </c:pt>
                <c:pt idx="6">
                  <c:v>MIACATLAN</c:v>
                </c:pt>
                <c:pt idx="7">
                  <c:v>ORIZABA</c:v>
                </c:pt>
                <c:pt idx="8">
                  <c:v>SAN LUIS P</c:v>
                </c:pt>
                <c:pt idx="9">
                  <c:v>TLAXCALA</c:v>
                </c:pt>
                <c:pt idx="10">
                  <c:v>TULA</c:v>
                </c:pt>
              </c:strCache>
            </c:strRef>
          </c:cat>
          <c:val>
            <c:numRef>
              <c:f>Resumen!$D$5:$D$15</c:f>
              <c:numCache>
                <c:formatCode>General</c:formatCode>
                <c:ptCount val="11"/>
                <c:pt idx="0">
                  <c:v>70</c:v>
                </c:pt>
                <c:pt idx="1">
                  <c:v>92</c:v>
                </c:pt>
                <c:pt idx="2">
                  <c:v>256</c:v>
                </c:pt>
                <c:pt idx="3">
                  <c:v>64</c:v>
                </c:pt>
                <c:pt idx="4">
                  <c:v>92</c:v>
                </c:pt>
                <c:pt idx="5">
                  <c:v>72</c:v>
                </c:pt>
                <c:pt idx="6">
                  <c:v>84</c:v>
                </c:pt>
                <c:pt idx="7">
                  <c:v>302</c:v>
                </c:pt>
                <c:pt idx="8">
                  <c:v>74</c:v>
                </c:pt>
                <c:pt idx="9">
                  <c:v>130</c:v>
                </c:pt>
                <c:pt idx="1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1-4955-84D4-3658349535F5}"/>
            </c:ext>
          </c:extLst>
        </c:ser>
        <c:ser>
          <c:idx val="1"/>
          <c:order val="1"/>
          <c:tx>
            <c:strRef>
              <c:f>Resumen!$E$4</c:f>
              <c:strCache>
                <c:ptCount val="1"/>
                <c:pt idx="0">
                  <c:v>DÍAS TOMADOS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Resumen!$A$5:$A$15</c:f>
              <c:strCache>
                <c:ptCount val="11"/>
                <c:pt idx="0">
                  <c:v>ATLACOMULC</c:v>
                </c:pt>
                <c:pt idx="1">
                  <c:v>ATLIXCO</c:v>
                </c:pt>
                <c:pt idx="2">
                  <c:v>CORDOBA</c:v>
                </c:pt>
                <c:pt idx="3">
                  <c:v>CUERNAVACA</c:v>
                </c:pt>
                <c:pt idx="4">
                  <c:v>HUAMANTLA</c:v>
                </c:pt>
                <c:pt idx="5">
                  <c:v>IXTLAHUACA</c:v>
                </c:pt>
                <c:pt idx="6">
                  <c:v>MIACATLAN</c:v>
                </c:pt>
                <c:pt idx="7">
                  <c:v>ORIZABA</c:v>
                </c:pt>
                <c:pt idx="8">
                  <c:v>SAN LUIS P</c:v>
                </c:pt>
                <c:pt idx="9">
                  <c:v>TLAXCALA</c:v>
                </c:pt>
                <c:pt idx="10">
                  <c:v>TULA</c:v>
                </c:pt>
              </c:strCache>
            </c:strRef>
          </c:cat>
          <c:val>
            <c:numRef>
              <c:f>Resumen!$E$5:$E$15</c:f>
              <c:numCache>
                <c:formatCode>General</c:formatCode>
                <c:ptCount val="11"/>
                <c:pt idx="0">
                  <c:v>18</c:v>
                </c:pt>
                <c:pt idx="1">
                  <c:v>6</c:v>
                </c:pt>
                <c:pt idx="2">
                  <c:v>83</c:v>
                </c:pt>
                <c:pt idx="3">
                  <c:v>3</c:v>
                </c:pt>
                <c:pt idx="4">
                  <c:v>6</c:v>
                </c:pt>
                <c:pt idx="5">
                  <c:v>14</c:v>
                </c:pt>
                <c:pt idx="6">
                  <c:v>0</c:v>
                </c:pt>
                <c:pt idx="7">
                  <c:v>61</c:v>
                </c:pt>
                <c:pt idx="8">
                  <c:v>14</c:v>
                </c:pt>
                <c:pt idx="9">
                  <c:v>38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1-4955-84D4-3658349535F5}"/>
            </c:ext>
          </c:extLst>
        </c:ser>
        <c:ser>
          <c:idx val="2"/>
          <c:order val="2"/>
          <c:tx>
            <c:strRef>
              <c:f>Resumen!$F$4</c:f>
              <c:strCache>
                <c:ptCount val="1"/>
                <c:pt idx="0">
                  <c:v>DÍAS RESTANTES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Resumen!$A$5:$A$15</c:f>
              <c:strCache>
                <c:ptCount val="11"/>
                <c:pt idx="0">
                  <c:v>ATLACOMULC</c:v>
                </c:pt>
                <c:pt idx="1">
                  <c:v>ATLIXCO</c:v>
                </c:pt>
                <c:pt idx="2">
                  <c:v>CORDOBA</c:v>
                </c:pt>
                <c:pt idx="3">
                  <c:v>CUERNAVACA</c:v>
                </c:pt>
                <c:pt idx="4">
                  <c:v>HUAMANTLA</c:v>
                </c:pt>
                <c:pt idx="5">
                  <c:v>IXTLAHUACA</c:v>
                </c:pt>
                <c:pt idx="6">
                  <c:v>MIACATLAN</c:v>
                </c:pt>
                <c:pt idx="7">
                  <c:v>ORIZABA</c:v>
                </c:pt>
                <c:pt idx="8">
                  <c:v>SAN LUIS P</c:v>
                </c:pt>
                <c:pt idx="9">
                  <c:v>TLAXCALA</c:v>
                </c:pt>
                <c:pt idx="10">
                  <c:v>TULA</c:v>
                </c:pt>
              </c:strCache>
            </c:strRef>
          </c:cat>
          <c:val>
            <c:numRef>
              <c:f>Resumen!$F$5:$F$15</c:f>
              <c:numCache>
                <c:formatCode>General</c:formatCode>
                <c:ptCount val="11"/>
                <c:pt idx="0">
                  <c:v>52</c:v>
                </c:pt>
                <c:pt idx="1">
                  <c:v>86</c:v>
                </c:pt>
                <c:pt idx="2">
                  <c:v>173</c:v>
                </c:pt>
                <c:pt idx="3">
                  <c:v>61</c:v>
                </c:pt>
                <c:pt idx="4">
                  <c:v>86</c:v>
                </c:pt>
                <c:pt idx="5">
                  <c:v>58</c:v>
                </c:pt>
                <c:pt idx="6">
                  <c:v>84</c:v>
                </c:pt>
                <c:pt idx="7">
                  <c:v>241</c:v>
                </c:pt>
                <c:pt idx="8">
                  <c:v>60</c:v>
                </c:pt>
                <c:pt idx="9">
                  <c:v>92</c:v>
                </c:pt>
                <c:pt idx="10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E1-4955-84D4-365834953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88495"/>
        <c:axId val="32407319"/>
      </c:barChart>
      <c:catAx>
        <c:axId val="3488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2407319"/>
        <c:crosses val="autoZero"/>
        <c:auto val="1"/>
        <c:lblAlgn val="ctr"/>
        <c:lblOffset val="100"/>
        <c:noMultiLvlLbl val="0"/>
      </c:catAx>
      <c:valAx>
        <c:axId val="32407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MX" sz="1000" b="1" strike="noStrike" spc="-1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48884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0</xdr:col>
      <xdr:colOff>1924050</xdr:colOff>
      <xdr:row>2</xdr:row>
      <xdr:rowOff>205157</xdr:rowOff>
    </xdr:to>
    <xdr:pic>
      <xdr:nvPicPr>
        <xdr:cNvPr id="5" name="Imagen 4" descr="Mr lana">
          <a:extLst>
            <a:ext uri="{FF2B5EF4-FFF2-40B4-BE49-F238E27FC236}">
              <a16:creationId xmlns:a16="http://schemas.microsoft.com/office/drawing/2014/main" id="{8EC17967-6F79-4B07-81EF-161CD4F80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9075" y="0"/>
          <a:ext cx="1704975" cy="662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22</xdr:col>
      <xdr:colOff>78480</xdr:colOff>
      <xdr:row>19</xdr:row>
      <xdr:rowOff>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J130"/>
  <sheetViews>
    <sheetView showGridLines="0" tabSelected="1" zoomScale="80" zoomScaleNormal="80" workbookViewId="0">
      <pane ySplit="4" topLeftCell="A5" activePane="bottomLeft" state="frozen"/>
      <selection pane="bottomLeft" activeCell="J11" sqref="J11"/>
    </sheetView>
  </sheetViews>
  <sheetFormatPr baseColWidth="10" defaultColWidth="9.1328125" defaultRowHeight="14.25" x14ac:dyDescent="0.45"/>
  <cols>
    <col min="1" max="1" width="38" customWidth="1"/>
    <col min="2" max="3" width="16" customWidth="1"/>
    <col min="4" max="4" width="17.59765625" customWidth="1"/>
    <col min="5" max="6" width="16" customWidth="1"/>
    <col min="7" max="7" width="13.86328125" style="37" bestFit="1" customWidth="1"/>
    <col min="8" max="8" width="3" customWidth="1"/>
    <col min="9" max="9" width="4" customWidth="1"/>
    <col min="10" max="10" width="34" customWidth="1"/>
    <col min="11" max="11" width="9" customWidth="1"/>
  </cols>
  <sheetData>
    <row r="1" spans="1:10" ht="18" customHeight="1" x14ac:dyDescent="0.45">
      <c r="A1" s="29" t="s">
        <v>0</v>
      </c>
      <c r="B1" s="29"/>
      <c r="C1" s="29"/>
      <c r="D1" s="29"/>
      <c r="E1" s="29"/>
      <c r="F1" s="29"/>
      <c r="G1" s="25"/>
    </row>
    <row r="2" spans="1:10" ht="18" customHeight="1" x14ac:dyDescent="0.45">
      <c r="A2" s="29"/>
      <c r="B2" s="29"/>
      <c r="C2" s="29"/>
      <c r="D2" s="29"/>
      <c r="E2" s="29"/>
      <c r="F2" s="29"/>
      <c r="G2" s="25"/>
    </row>
    <row r="3" spans="1:10" ht="18" customHeight="1" x14ac:dyDescent="0.45">
      <c r="A3" s="29"/>
      <c r="B3" s="29"/>
      <c r="C3" s="29"/>
      <c r="D3" s="29"/>
      <c r="E3" s="29"/>
      <c r="F3" s="29"/>
      <c r="G3" s="25"/>
    </row>
    <row r="4" spans="1:10" ht="30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28" t="s">
        <v>132</v>
      </c>
      <c r="I4" s="2" t="s">
        <v>7</v>
      </c>
    </row>
    <row r="5" spans="1:10" x14ac:dyDescent="0.45">
      <c r="A5" s="3" t="s">
        <v>8</v>
      </c>
      <c r="B5" s="4" t="s">
        <v>9</v>
      </c>
      <c r="C5" s="5">
        <v>44364</v>
      </c>
      <c r="D5" s="4">
        <v>20</v>
      </c>
      <c r="E5" s="4">
        <v>6</v>
      </c>
      <c r="F5" s="26">
        <f>D5-E5</f>
        <v>14</v>
      </c>
      <c r="G5" s="4">
        <v>333.33</v>
      </c>
      <c r="I5" s="6"/>
      <c r="J5" s="7" t="s">
        <v>10</v>
      </c>
    </row>
    <row r="6" spans="1:10" x14ac:dyDescent="0.45">
      <c r="A6" s="3" t="s">
        <v>11</v>
      </c>
      <c r="B6" s="4" t="s">
        <v>9</v>
      </c>
      <c r="C6" s="5">
        <v>45488</v>
      </c>
      <c r="D6" s="4">
        <v>12</v>
      </c>
      <c r="E6" s="4">
        <v>12</v>
      </c>
      <c r="F6" s="26">
        <f t="shared" ref="F6:F36" si="0">D6-E6</f>
        <v>0</v>
      </c>
      <c r="G6" s="4">
        <v>333.33</v>
      </c>
      <c r="I6" s="8"/>
      <c r="J6" s="7" t="s">
        <v>12</v>
      </c>
    </row>
    <row r="7" spans="1:10" x14ac:dyDescent="0.45">
      <c r="A7" s="3" t="s">
        <v>13</v>
      </c>
      <c r="B7" s="4" t="s">
        <v>9</v>
      </c>
      <c r="C7" s="5">
        <v>45575</v>
      </c>
      <c r="D7" s="4">
        <v>14</v>
      </c>
      <c r="E7" s="4">
        <v>0</v>
      </c>
      <c r="F7" s="26">
        <f t="shared" si="0"/>
        <v>14</v>
      </c>
      <c r="G7" s="4">
        <v>315.04000000000002</v>
      </c>
      <c r="I7" s="9"/>
      <c r="J7" s="7" t="s">
        <v>14</v>
      </c>
    </row>
    <row r="8" spans="1:10" x14ac:dyDescent="0.45">
      <c r="A8" s="10" t="s">
        <v>15</v>
      </c>
      <c r="B8" s="11" t="s">
        <v>9</v>
      </c>
      <c r="C8" s="12">
        <v>46086</v>
      </c>
      <c r="D8" s="11">
        <v>12</v>
      </c>
      <c r="E8" s="11">
        <v>0</v>
      </c>
      <c r="F8" s="27">
        <f>D8-E8</f>
        <v>12</v>
      </c>
      <c r="G8" s="4">
        <v>315.04000000000002</v>
      </c>
      <c r="I8" s="13"/>
      <c r="J8" s="14" t="s">
        <v>16</v>
      </c>
    </row>
    <row r="9" spans="1:10" x14ac:dyDescent="0.45">
      <c r="A9" s="10" t="s">
        <v>17</v>
      </c>
      <c r="B9" s="11" t="s">
        <v>9</v>
      </c>
      <c r="C9" s="12">
        <v>46128</v>
      </c>
      <c r="D9" s="11">
        <v>12</v>
      </c>
      <c r="E9" s="11">
        <v>0</v>
      </c>
      <c r="F9" s="27">
        <f t="shared" si="0"/>
        <v>12</v>
      </c>
      <c r="G9" s="4">
        <v>315.04000000000002</v>
      </c>
    </row>
    <row r="10" spans="1:10" x14ac:dyDescent="0.45">
      <c r="A10" s="3" t="s">
        <v>18</v>
      </c>
      <c r="B10" s="4" t="s">
        <v>19</v>
      </c>
      <c r="C10" s="5">
        <v>43635</v>
      </c>
      <c r="D10" s="4">
        <v>20</v>
      </c>
      <c r="E10" s="4">
        <v>4</v>
      </c>
      <c r="F10" s="26">
        <f t="shared" si="0"/>
        <v>16</v>
      </c>
      <c r="G10" s="4">
        <v>366.67</v>
      </c>
    </row>
    <row r="11" spans="1:10" x14ac:dyDescent="0.45">
      <c r="A11" s="3" t="s">
        <v>20</v>
      </c>
      <c r="B11" s="4" t="s">
        <v>19</v>
      </c>
      <c r="C11" s="5">
        <v>45818</v>
      </c>
      <c r="D11" s="4">
        <v>12</v>
      </c>
      <c r="E11" s="4">
        <v>0</v>
      </c>
      <c r="F11" s="26">
        <f t="shared" si="0"/>
        <v>12</v>
      </c>
      <c r="G11" s="4">
        <v>315.04000000000002</v>
      </c>
    </row>
    <row r="12" spans="1:10" x14ac:dyDescent="0.45">
      <c r="A12" s="3" t="s">
        <v>21</v>
      </c>
      <c r="B12" s="4" t="s">
        <v>19</v>
      </c>
      <c r="C12" s="5">
        <v>45790</v>
      </c>
      <c r="D12" s="4">
        <v>12</v>
      </c>
      <c r="E12" s="4">
        <v>2</v>
      </c>
      <c r="F12" s="26">
        <f>D12-E12</f>
        <v>10</v>
      </c>
      <c r="G12" s="4">
        <v>315.04000000000002</v>
      </c>
    </row>
    <row r="13" spans="1:10" x14ac:dyDescent="0.45">
      <c r="A13" s="10" t="s">
        <v>22</v>
      </c>
      <c r="B13" s="11" t="s">
        <v>19</v>
      </c>
      <c r="C13" s="12">
        <v>46042</v>
      </c>
      <c r="D13" s="11">
        <v>12</v>
      </c>
      <c r="E13" s="11">
        <v>0</v>
      </c>
      <c r="F13" s="27">
        <f t="shared" si="0"/>
        <v>12</v>
      </c>
      <c r="G13" s="4">
        <v>315.04000000000002</v>
      </c>
    </row>
    <row r="14" spans="1:10" x14ac:dyDescent="0.45">
      <c r="A14" s="10" t="s">
        <v>23</v>
      </c>
      <c r="B14" s="11" t="s">
        <v>19</v>
      </c>
      <c r="C14" s="12">
        <v>46056</v>
      </c>
      <c r="D14" s="11">
        <v>12</v>
      </c>
      <c r="E14" s="11">
        <v>0</v>
      </c>
      <c r="F14" s="27">
        <f t="shared" si="0"/>
        <v>12</v>
      </c>
      <c r="G14" s="4">
        <v>315.04000000000002</v>
      </c>
    </row>
    <row r="15" spans="1:10" x14ac:dyDescent="0.45">
      <c r="A15" s="10" t="s">
        <v>24</v>
      </c>
      <c r="B15" s="11" t="s">
        <v>19</v>
      </c>
      <c r="C15" s="12">
        <v>46051</v>
      </c>
      <c r="D15" s="11">
        <v>12</v>
      </c>
      <c r="E15" s="11">
        <v>0</v>
      </c>
      <c r="F15" s="27">
        <f t="shared" si="0"/>
        <v>12</v>
      </c>
      <c r="G15" s="4">
        <v>333.33</v>
      </c>
    </row>
    <row r="16" spans="1:10" x14ac:dyDescent="0.45">
      <c r="A16" s="10" t="s">
        <v>25</v>
      </c>
      <c r="B16" s="11" t="s">
        <v>19</v>
      </c>
      <c r="C16" s="12">
        <v>46261</v>
      </c>
      <c r="D16" s="11">
        <v>12</v>
      </c>
      <c r="E16" s="11">
        <v>0</v>
      </c>
      <c r="F16" s="27">
        <f t="shared" si="0"/>
        <v>12</v>
      </c>
      <c r="G16" s="4">
        <v>315.04000000000002</v>
      </c>
    </row>
    <row r="17" spans="1:7" x14ac:dyDescent="0.45">
      <c r="A17" s="3" t="s">
        <v>26</v>
      </c>
      <c r="B17" s="4" t="s">
        <v>27</v>
      </c>
      <c r="C17" s="5">
        <v>44279</v>
      </c>
      <c r="D17" s="4">
        <v>20</v>
      </c>
      <c r="E17" s="4">
        <v>7</v>
      </c>
      <c r="F17" s="26">
        <f t="shared" si="0"/>
        <v>13</v>
      </c>
      <c r="G17" s="4">
        <v>366.67</v>
      </c>
    </row>
    <row r="18" spans="1:7" x14ac:dyDescent="0.45">
      <c r="A18" s="3" t="s">
        <v>28</v>
      </c>
      <c r="B18" s="4" t="s">
        <v>27</v>
      </c>
      <c r="C18" s="5">
        <v>44461</v>
      </c>
      <c r="D18" s="4">
        <v>20</v>
      </c>
      <c r="E18" s="4">
        <v>1</v>
      </c>
      <c r="F18" s="26">
        <f t="shared" si="0"/>
        <v>19</v>
      </c>
      <c r="G18" s="4">
        <v>315.04000000000002</v>
      </c>
    </row>
    <row r="19" spans="1:7" x14ac:dyDescent="0.45">
      <c r="A19" s="3" t="s">
        <v>29</v>
      </c>
      <c r="B19" s="4" t="s">
        <v>27</v>
      </c>
      <c r="C19" s="5">
        <v>45679</v>
      </c>
      <c r="D19" s="4">
        <v>12</v>
      </c>
      <c r="E19" s="4">
        <v>11</v>
      </c>
      <c r="F19" s="26">
        <f t="shared" si="0"/>
        <v>1</v>
      </c>
      <c r="G19" s="4">
        <v>315.04000000000002</v>
      </c>
    </row>
    <row r="20" spans="1:7" x14ac:dyDescent="0.45">
      <c r="A20" s="3" t="s">
        <v>30</v>
      </c>
      <c r="B20" s="4" t="s">
        <v>27</v>
      </c>
      <c r="C20" s="5">
        <v>45957</v>
      </c>
      <c r="D20" s="4">
        <v>12</v>
      </c>
      <c r="E20" s="4">
        <v>0</v>
      </c>
      <c r="F20" s="26">
        <f t="shared" si="0"/>
        <v>12</v>
      </c>
      <c r="G20" s="4">
        <v>333.33</v>
      </c>
    </row>
    <row r="21" spans="1:7" x14ac:dyDescent="0.45">
      <c r="A21" s="3" t="s">
        <v>31</v>
      </c>
      <c r="B21" s="4" t="s">
        <v>27</v>
      </c>
      <c r="C21" s="5">
        <v>44804</v>
      </c>
      <c r="D21" s="4">
        <v>18</v>
      </c>
      <c r="E21" s="4">
        <v>1</v>
      </c>
      <c r="F21" s="26">
        <f t="shared" si="0"/>
        <v>17</v>
      </c>
      <c r="G21" s="4">
        <v>315.04000000000002</v>
      </c>
    </row>
    <row r="22" spans="1:7" x14ac:dyDescent="0.45">
      <c r="A22" s="3" t="s">
        <v>32</v>
      </c>
      <c r="B22" s="4" t="s">
        <v>27</v>
      </c>
      <c r="C22" s="5">
        <v>44538</v>
      </c>
      <c r="D22" s="4">
        <v>18</v>
      </c>
      <c r="E22" s="4">
        <v>12</v>
      </c>
      <c r="F22" s="26">
        <f t="shared" si="0"/>
        <v>6</v>
      </c>
      <c r="G22" s="4">
        <v>315.04000000000002</v>
      </c>
    </row>
    <row r="23" spans="1:7" x14ac:dyDescent="0.45">
      <c r="A23" s="3" t="s">
        <v>33</v>
      </c>
      <c r="B23" s="4" t="s">
        <v>27</v>
      </c>
      <c r="C23" s="5">
        <v>44809</v>
      </c>
      <c r="D23" s="4">
        <v>18</v>
      </c>
      <c r="E23" s="4">
        <v>3</v>
      </c>
      <c r="F23" s="26">
        <f t="shared" si="0"/>
        <v>15</v>
      </c>
      <c r="G23" s="4">
        <v>315.04000000000002</v>
      </c>
    </row>
    <row r="24" spans="1:7" x14ac:dyDescent="0.45">
      <c r="A24" s="3" t="s">
        <v>34</v>
      </c>
      <c r="B24" s="4" t="s">
        <v>27</v>
      </c>
      <c r="C24" s="5">
        <v>45467</v>
      </c>
      <c r="D24" s="4">
        <v>14</v>
      </c>
      <c r="E24" s="4">
        <v>11</v>
      </c>
      <c r="F24" s="26">
        <f t="shared" si="0"/>
        <v>3</v>
      </c>
      <c r="G24" s="4">
        <v>315.04000000000002</v>
      </c>
    </row>
    <row r="25" spans="1:7" x14ac:dyDescent="0.45">
      <c r="A25" s="3" t="s">
        <v>35</v>
      </c>
      <c r="B25" s="4" t="s">
        <v>27</v>
      </c>
      <c r="C25" s="5">
        <v>45306</v>
      </c>
      <c r="D25" s="4">
        <v>14</v>
      </c>
      <c r="E25" s="4">
        <v>14</v>
      </c>
      <c r="F25" s="26">
        <f t="shared" si="0"/>
        <v>0</v>
      </c>
      <c r="G25" s="4">
        <v>315.04000000000002</v>
      </c>
    </row>
    <row r="26" spans="1:7" x14ac:dyDescent="0.45">
      <c r="A26" s="3" t="s">
        <v>36</v>
      </c>
      <c r="B26" s="4" t="s">
        <v>27</v>
      </c>
      <c r="C26" s="5">
        <v>45698</v>
      </c>
      <c r="D26" s="4">
        <v>12</v>
      </c>
      <c r="E26" s="4">
        <v>4</v>
      </c>
      <c r="F26" s="26">
        <f t="shared" si="0"/>
        <v>8</v>
      </c>
      <c r="G26" s="4">
        <v>315.04000000000002</v>
      </c>
    </row>
    <row r="27" spans="1:7" x14ac:dyDescent="0.45">
      <c r="A27" s="3" t="s">
        <v>37</v>
      </c>
      <c r="B27" s="4" t="s">
        <v>27</v>
      </c>
      <c r="C27" s="5">
        <v>45551</v>
      </c>
      <c r="D27" s="4">
        <v>14</v>
      </c>
      <c r="E27" s="4">
        <v>2</v>
      </c>
      <c r="F27" s="26">
        <f t="shared" si="0"/>
        <v>12</v>
      </c>
      <c r="G27" s="4">
        <v>315.04000000000002</v>
      </c>
    </row>
    <row r="28" spans="1:7" x14ac:dyDescent="0.45">
      <c r="A28" s="3" t="s">
        <v>38</v>
      </c>
      <c r="B28" s="4" t="s">
        <v>27</v>
      </c>
      <c r="C28" s="5">
        <v>45614</v>
      </c>
      <c r="D28" s="4">
        <v>12</v>
      </c>
      <c r="E28" s="4">
        <v>5</v>
      </c>
      <c r="F28" s="26">
        <f t="shared" si="0"/>
        <v>7</v>
      </c>
      <c r="G28" s="4">
        <v>315.04000000000002</v>
      </c>
    </row>
    <row r="29" spans="1:7" x14ac:dyDescent="0.45">
      <c r="A29" s="3" t="s">
        <v>39</v>
      </c>
      <c r="B29" s="4" t="s">
        <v>27</v>
      </c>
      <c r="C29" s="5">
        <v>45782</v>
      </c>
      <c r="D29" s="4">
        <v>12</v>
      </c>
      <c r="E29" s="4">
        <v>12</v>
      </c>
      <c r="F29" s="26">
        <f t="shared" si="0"/>
        <v>0</v>
      </c>
      <c r="G29" s="4">
        <v>315.04000000000002</v>
      </c>
    </row>
    <row r="30" spans="1:7" x14ac:dyDescent="0.45">
      <c r="A30" s="3" t="s">
        <v>40</v>
      </c>
      <c r="B30" s="4" t="s">
        <v>27</v>
      </c>
      <c r="C30" s="5">
        <v>45917</v>
      </c>
      <c r="D30" s="4">
        <v>12</v>
      </c>
      <c r="E30" s="4">
        <v>0</v>
      </c>
      <c r="F30" s="26">
        <f t="shared" si="0"/>
        <v>12</v>
      </c>
      <c r="G30" s="4">
        <v>315.04000000000002</v>
      </c>
    </row>
    <row r="31" spans="1:7" x14ac:dyDescent="0.45">
      <c r="A31" s="3" t="s">
        <v>41</v>
      </c>
      <c r="B31" s="4" t="s">
        <v>27</v>
      </c>
      <c r="C31" s="5">
        <v>45930</v>
      </c>
      <c r="D31" s="4">
        <v>12</v>
      </c>
      <c r="E31" s="4">
        <v>0</v>
      </c>
      <c r="F31" s="26">
        <f t="shared" si="0"/>
        <v>12</v>
      </c>
      <c r="G31" s="4">
        <v>315.04000000000002</v>
      </c>
    </row>
    <row r="32" spans="1:7" x14ac:dyDescent="0.45">
      <c r="A32" s="3" t="s">
        <v>42</v>
      </c>
      <c r="B32" s="4" t="s">
        <v>27</v>
      </c>
      <c r="C32" s="5">
        <v>45950</v>
      </c>
      <c r="D32" s="4">
        <v>12</v>
      </c>
      <c r="E32" s="4">
        <v>0</v>
      </c>
      <c r="F32" s="26">
        <f t="shared" si="0"/>
        <v>12</v>
      </c>
      <c r="G32" s="4">
        <v>315.04000000000002</v>
      </c>
    </row>
    <row r="33" spans="1:7" x14ac:dyDescent="0.45">
      <c r="A33" s="3" t="s">
        <v>43</v>
      </c>
      <c r="B33" s="4" t="s">
        <v>27</v>
      </c>
      <c r="C33" s="5">
        <v>46008</v>
      </c>
      <c r="D33" s="4">
        <v>12</v>
      </c>
      <c r="E33" s="4">
        <v>0</v>
      </c>
      <c r="F33" s="26">
        <f t="shared" si="0"/>
        <v>12</v>
      </c>
      <c r="G33" s="4">
        <v>315.04000000000002</v>
      </c>
    </row>
    <row r="34" spans="1:7" x14ac:dyDescent="0.45">
      <c r="A34" s="10" t="s">
        <v>44</v>
      </c>
      <c r="B34" s="11" t="s">
        <v>27</v>
      </c>
      <c r="C34" s="12">
        <v>46223</v>
      </c>
      <c r="D34" s="11">
        <v>12</v>
      </c>
      <c r="E34" s="11">
        <v>0</v>
      </c>
      <c r="F34" s="27">
        <f t="shared" si="0"/>
        <v>12</v>
      </c>
      <c r="G34" s="4">
        <v>315.04000000000002</v>
      </c>
    </row>
    <row r="35" spans="1:7" x14ac:dyDescent="0.45">
      <c r="A35" s="3" t="s">
        <v>45</v>
      </c>
      <c r="B35" s="4" t="s">
        <v>46</v>
      </c>
      <c r="C35" s="5">
        <v>45099</v>
      </c>
      <c r="D35" s="4">
        <v>16</v>
      </c>
      <c r="E35" s="4">
        <v>3</v>
      </c>
      <c r="F35" s="26">
        <f t="shared" si="0"/>
        <v>13</v>
      </c>
      <c r="G35" s="4">
        <v>333.33</v>
      </c>
    </row>
    <row r="36" spans="1:7" x14ac:dyDescent="0.45">
      <c r="A36" s="10" t="s">
        <v>47</v>
      </c>
      <c r="B36" s="11" t="s">
        <v>46</v>
      </c>
      <c r="C36" s="12">
        <v>46027</v>
      </c>
      <c r="D36" s="11">
        <v>12</v>
      </c>
      <c r="E36" s="11">
        <v>0</v>
      </c>
      <c r="F36" s="27">
        <f t="shared" si="0"/>
        <v>12</v>
      </c>
      <c r="G36" s="4">
        <v>315.04000000000002</v>
      </c>
    </row>
    <row r="37" spans="1:7" x14ac:dyDescent="0.45">
      <c r="A37" s="10" t="s">
        <v>48</v>
      </c>
      <c r="B37" s="11" t="s">
        <v>46</v>
      </c>
      <c r="C37" s="12">
        <v>46181</v>
      </c>
      <c r="D37" s="11">
        <v>12</v>
      </c>
      <c r="E37" s="11">
        <v>0</v>
      </c>
      <c r="F37" s="27">
        <f t="shared" ref="F37:F67" si="1">D37-E37</f>
        <v>12</v>
      </c>
      <c r="G37" s="4">
        <v>315.04000000000002</v>
      </c>
    </row>
    <row r="38" spans="1:7" x14ac:dyDescent="0.45">
      <c r="A38" s="10" t="s">
        <v>49</v>
      </c>
      <c r="B38" s="11" t="s">
        <v>46</v>
      </c>
      <c r="C38" s="12">
        <v>46265</v>
      </c>
      <c r="D38" s="11">
        <v>12</v>
      </c>
      <c r="E38" s="11">
        <v>0</v>
      </c>
      <c r="F38" s="27">
        <f t="shared" si="1"/>
        <v>12</v>
      </c>
      <c r="G38" s="4">
        <v>315.04000000000002</v>
      </c>
    </row>
    <row r="39" spans="1:7" x14ac:dyDescent="0.45">
      <c r="A39" s="10" t="s">
        <v>50</v>
      </c>
      <c r="B39" s="11" t="s">
        <v>46</v>
      </c>
      <c r="C39" s="12">
        <v>46286</v>
      </c>
      <c r="D39" s="11">
        <v>12</v>
      </c>
      <c r="E39" s="11">
        <v>0</v>
      </c>
      <c r="F39" s="27">
        <f t="shared" si="1"/>
        <v>12</v>
      </c>
      <c r="G39" s="4">
        <v>333.33</v>
      </c>
    </row>
    <row r="40" spans="1:7" x14ac:dyDescent="0.45">
      <c r="A40" s="3" t="s">
        <v>51</v>
      </c>
      <c r="B40" s="4" t="s">
        <v>52</v>
      </c>
      <c r="C40" s="5">
        <v>44098</v>
      </c>
      <c r="D40" s="4">
        <v>20</v>
      </c>
      <c r="E40" s="4">
        <v>6</v>
      </c>
      <c r="F40" s="26">
        <f t="shared" si="1"/>
        <v>14</v>
      </c>
      <c r="G40" s="4">
        <v>315.04000000000002</v>
      </c>
    </row>
    <row r="41" spans="1:7" x14ac:dyDescent="0.45">
      <c r="A41" s="10" t="s">
        <v>53</v>
      </c>
      <c r="B41" s="11" t="s">
        <v>52</v>
      </c>
      <c r="C41" s="12">
        <v>46119</v>
      </c>
      <c r="D41" s="11">
        <v>12</v>
      </c>
      <c r="E41" s="11">
        <v>0</v>
      </c>
      <c r="F41" s="27">
        <f t="shared" si="1"/>
        <v>12</v>
      </c>
      <c r="G41" s="4">
        <v>333.33</v>
      </c>
    </row>
    <row r="42" spans="1:7" x14ac:dyDescent="0.45">
      <c r="A42" s="10" t="s">
        <v>54</v>
      </c>
      <c r="B42" s="11" t="s">
        <v>52</v>
      </c>
      <c r="C42" s="12">
        <v>46041</v>
      </c>
      <c r="D42" s="11">
        <v>12</v>
      </c>
      <c r="E42" s="11">
        <v>0</v>
      </c>
      <c r="F42" s="27">
        <f t="shared" si="1"/>
        <v>12</v>
      </c>
      <c r="G42" s="4">
        <v>315.04000000000002</v>
      </c>
    </row>
    <row r="43" spans="1:7" x14ac:dyDescent="0.45">
      <c r="A43" s="10" t="s">
        <v>55</v>
      </c>
      <c r="B43" s="11" t="s">
        <v>52</v>
      </c>
      <c r="C43" s="12">
        <v>46042</v>
      </c>
      <c r="D43" s="11">
        <v>12</v>
      </c>
      <c r="E43" s="11">
        <v>0</v>
      </c>
      <c r="F43" s="27">
        <f t="shared" si="1"/>
        <v>12</v>
      </c>
      <c r="G43" s="4">
        <v>366.67</v>
      </c>
    </row>
    <row r="44" spans="1:7" x14ac:dyDescent="0.45">
      <c r="A44" s="10" t="s">
        <v>56</v>
      </c>
      <c r="B44" s="11" t="s">
        <v>52</v>
      </c>
      <c r="C44" s="12">
        <v>46125</v>
      </c>
      <c r="D44" s="11">
        <v>12</v>
      </c>
      <c r="E44" s="11">
        <v>0</v>
      </c>
      <c r="F44" s="27">
        <f t="shared" si="1"/>
        <v>12</v>
      </c>
      <c r="G44" s="4">
        <v>315.04000000000002</v>
      </c>
    </row>
    <row r="45" spans="1:7" x14ac:dyDescent="0.45">
      <c r="A45" s="10" t="s">
        <v>57</v>
      </c>
      <c r="B45" s="11" t="s">
        <v>52</v>
      </c>
      <c r="C45" s="12">
        <v>46139</v>
      </c>
      <c r="D45" s="11">
        <v>12</v>
      </c>
      <c r="E45" s="11">
        <v>0</v>
      </c>
      <c r="F45" s="27">
        <f t="shared" si="1"/>
        <v>12</v>
      </c>
      <c r="G45" s="4">
        <v>315.04000000000002</v>
      </c>
    </row>
    <row r="46" spans="1:7" x14ac:dyDescent="0.45">
      <c r="A46" s="10" t="s">
        <v>58</v>
      </c>
      <c r="B46" s="11" t="s">
        <v>52</v>
      </c>
      <c r="C46" s="12">
        <v>46261</v>
      </c>
      <c r="D46" s="11">
        <v>12</v>
      </c>
      <c r="E46" s="11">
        <v>0</v>
      </c>
      <c r="F46" s="27">
        <f t="shared" si="1"/>
        <v>12</v>
      </c>
      <c r="G46" s="4">
        <v>315.04000000000002</v>
      </c>
    </row>
    <row r="47" spans="1:7" x14ac:dyDescent="0.45">
      <c r="A47" s="3" t="s">
        <v>59</v>
      </c>
      <c r="B47" s="4" t="s">
        <v>60</v>
      </c>
      <c r="C47" s="5">
        <v>45580</v>
      </c>
      <c r="D47" s="4">
        <v>12</v>
      </c>
      <c r="E47" s="4">
        <v>12</v>
      </c>
      <c r="F47" s="26">
        <f t="shared" si="1"/>
        <v>0</v>
      </c>
      <c r="G47" s="4">
        <v>333.33</v>
      </c>
    </row>
    <row r="48" spans="1:7" x14ac:dyDescent="0.45">
      <c r="A48" s="3" t="s">
        <v>61</v>
      </c>
      <c r="B48" s="4" t="s">
        <v>60</v>
      </c>
      <c r="C48" s="5">
        <v>45693</v>
      </c>
      <c r="D48" s="4">
        <v>12</v>
      </c>
      <c r="E48" s="4">
        <v>2</v>
      </c>
      <c r="F48" s="26">
        <f t="shared" si="1"/>
        <v>10</v>
      </c>
      <c r="G48" s="4">
        <v>366.67</v>
      </c>
    </row>
    <row r="49" spans="1:7" x14ac:dyDescent="0.45">
      <c r="A49" s="3" t="s">
        <v>62</v>
      </c>
      <c r="B49" s="4" t="s">
        <v>60</v>
      </c>
      <c r="C49" s="5">
        <v>45883</v>
      </c>
      <c r="D49" s="4">
        <v>12</v>
      </c>
      <c r="E49" s="4">
        <v>0</v>
      </c>
      <c r="F49" s="26">
        <f t="shared" si="1"/>
        <v>12</v>
      </c>
      <c r="G49" s="4">
        <v>315.04000000000002</v>
      </c>
    </row>
    <row r="50" spans="1:7" x14ac:dyDescent="0.45">
      <c r="A50" s="10" t="s">
        <v>63</v>
      </c>
      <c r="B50" s="11" t="s">
        <v>60</v>
      </c>
      <c r="C50" s="12">
        <v>46220</v>
      </c>
      <c r="D50" s="11">
        <v>12</v>
      </c>
      <c r="E50" s="11">
        <v>0</v>
      </c>
      <c r="F50" s="27">
        <f t="shared" si="1"/>
        <v>12</v>
      </c>
      <c r="G50" s="4">
        <v>315.04000000000002</v>
      </c>
    </row>
    <row r="51" spans="1:7" x14ac:dyDescent="0.45">
      <c r="A51" s="10" t="s">
        <v>64</v>
      </c>
      <c r="B51" s="11" t="s">
        <v>60</v>
      </c>
      <c r="C51" s="12">
        <v>46242</v>
      </c>
      <c r="D51" s="11">
        <v>12</v>
      </c>
      <c r="E51" s="11">
        <v>0</v>
      </c>
      <c r="F51" s="27">
        <f t="shared" si="1"/>
        <v>12</v>
      </c>
      <c r="G51" s="4">
        <v>315.04000000000002</v>
      </c>
    </row>
    <row r="52" spans="1:7" x14ac:dyDescent="0.45">
      <c r="A52" s="10" t="s">
        <v>65</v>
      </c>
      <c r="B52" s="11" t="s">
        <v>60</v>
      </c>
      <c r="C52" s="12">
        <v>46282</v>
      </c>
      <c r="D52" s="11">
        <v>12</v>
      </c>
      <c r="E52" s="11">
        <v>0</v>
      </c>
      <c r="F52" s="27">
        <f t="shared" si="1"/>
        <v>12</v>
      </c>
      <c r="G52" s="4">
        <v>315.04000000000002</v>
      </c>
    </row>
    <row r="53" spans="1:7" x14ac:dyDescent="0.45">
      <c r="A53" s="3" t="s">
        <v>66</v>
      </c>
      <c r="B53" s="4" t="s">
        <v>67</v>
      </c>
      <c r="C53" s="5">
        <v>45922</v>
      </c>
      <c r="D53" s="4">
        <v>12</v>
      </c>
      <c r="E53" s="4">
        <v>0</v>
      </c>
      <c r="F53" s="26">
        <f t="shared" si="1"/>
        <v>12</v>
      </c>
      <c r="G53" s="4">
        <v>315.04000000000002</v>
      </c>
    </row>
    <row r="54" spans="1:7" x14ac:dyDescent="0.45">
      <c r="A54" s="3" t="s">
        <v>68</v>
      </c>
      <c r="B54" s="4" t="s">
        <v>67</v>
      </c>
      <c r="C54" s="5">
        <v>45985</v>
      </c>
      <c r="D54" s="4">
        <v>12</v>
      </c>
      <c r="E54" s="4">
        <v>0</v>
      </c>
      <c r="F54" s="26">
        <f t="shared" si="1"/>
        <v>12</v>
      </c>
      <c r="G54" s="4">
        <v>333.33</v>
      </c>
    </row>
    <row r="55" spans="1:7" x14ac:dyDescent="0.45">
      <c r="A55" s="10" t="s">
        <v>69</v>
      </c>
      <c r="B55" s="11" t="s">
        <v>67</v>
      </c>
      <c r="C55" s="12">
        <v>46115</v>
      </c>
      <c r="D55" s="11">
        <v>12</v>
      </c>
      <c r="E55" s="11">
        <v>0</v>
      </c>
      <c r="F55" s="27">
        <f t="shared" si="1"/>
        <v>12</v>
      </c>
      <c r="G55" s="4">
        <v>315.04000000000002</v>
      </c>
    </row>
    <row r="56" spans="1:7" x14ac:dyDescent="0.45">
      <c r="A56" s="10" t="s">
        <v>70</v>
      </c>
      <c r="B56" s="11" t="s">
        <v>67</v>
      </c>
      <c r="C56" s="12">
        <v>46265</v>
      </c>
      <c r="D56" s="11">
        <v>12</v>
      </c>
      <c r="E56" s="11">
        <v>0</v>
      </c>
      <c r="F56" s="27">
        <f t="shared" si="1"/>
        <v>12</v>
      </c>
      <c r="G56" s="4">
        <v>333.33</v>
      </c>
    </row>
    <row r="57" spans="1:7" x14ac:dyDescent="0.45">
      <c r="A57" s="10" t="s">
        <v>71</v>
      </c>
      <c r="B57" s="11" t="s">
        <v>67</v>
      </c>
      <c r="C57" s="12">
        <v>46266</v>
      </c>
      <c r="D57" s="11">
        <v>12</v>
      </c>
      <c r="E57" s="11">
        <v>0</v>
      </c>
      <c r="F57" s="27">
        <f t="shared" si="1"/>
        <v>12</v>
      </c>
      <c r="G57" s="4">
        <v>315.04000000000002</v>
      </c>
    </row>
    <row r="58" spans="1:7" x14ac:dyDescent="0.45">
      <c r="A58" s="10" t="s">
        <v>72</v>
      </c>
      <c r="B58" s="11" t="s">
        <v>67</v>
      </c>
      <c r="C58" s="12">
        <v>46272</v>
      </c>
      <c r="D58" s="11">
        <v>12</v>
      </c>
      <c r="E58" s="11">
        <v>0</v>
      </c>
      <c r="F58" s="27">
        <f t="shared" si="1"/>
        <v>12</v>
      </c>
      <c r="G58" s="4">
        <v>315.04000000000002</v>
      </c>
    </row>
    <row r="59" spans="1:7" x14ac:dyDescent="0.45">
      <c r="A59" s="10" t="s">
        <v>73</v>
      </c>
      <c r="B59" s="11" t="s">
        <v>67</v>
      </c>
      <c r="C59" s="12">
        <v>46281</v>
      </c>
      <c r="D59" s="11">
        <v>12</v>
      </c>
      <c r="E59" s="11">
        <v>0</v>
      </c>
      <c r="F59" s="27">
        <f t="shared" si="1"/>
        <v>12</v>
      </c>
      <c r="G59" s="4">
        <v>315.04000000000002</v>
      </c>
    </row>
    <row r="60" spans="1:7" x14ac:dyDescent="0.45">
      <c r="A60" s="3" t="s">
        <v>74</v>
      </c>
      <c r="B60" s="4" t="s">
        <v>75</v>
      </c>
      <c r="C60" s="5">
        <v>44405</v>
      </c>
      <c r="D60" s="4">
        <v>20</v>
      </c>
      <c r="E60" s="4">
        <v>1</v>
      </c>
      <c r="F60" s="26">
        <f t="shared" si="1"/>
        <v>19</v>
      </c>
      <c r="G60" s="4">
        <v>333.33</v>
      </c>
    </row>
    <row r="61" spans="1:7" x14ac:dyDescent="0.45">
      <c r="A61" s="3" t="s">
        <v>76</v>
      </c>
      <c r="B61" s="4" t="s">
        <v>75</v>
      </c>
      <c r="C61" s="5">
        <v>44215</v>
      </c>
      <c r="D61" s="4">
        <v>20</v>
      </c>
      <c r="E61" s="4">
        <v>7</v>
      </c>
      <c r="F61" s="26">
        <f t="shared" si="1"/>
        <v>13</v>
      </c>
      <c r="G61" s="4">
        <v>333.33</v>
      </c>
    </row>
    <row r="62" spans="1:7" x14ac:dyDescent="0.45">
      <c r="A62" s="3" t="s">
        <v>77</v>
      </c>
      <c r="B62" s="4" t="s">
        <v>75</v>
      </c>
      <c r="C62" s="5">
        <v>44270</v>
      </c>
      <c r="D62" s="4">
        <v>20</v>
      </c>
      <c r="E62" s="4">
        <v>7</v>
      </c>
      <c r="F62" s="26">
        <f t="shared" si="1"/>
        <v>13</v>
      </c>
      <c r="G62" s="4">
        <v>315.04000000000002</v>
      </c>
    </row>
    <row r="63" spans="1:7" x14ac:dyDescent="0.45">
      <c r="A63" s="3" t="s">
        <v>78</v>
      </c>
      <c r="B63" s="4" t="s">
        <v>75</v>
      </c>
      <c r="C63" s="5">
        <v>44217</v>
      </c>
      <c r="D63" s="4">
        <v>20</v>
      </c>
      <c r="E63" s="4">
        <v>4</v>
      </c>
      <c r="F63" s="26">
        <f t="shared" si="1"/>
        <v>16</v>
      </c>
      <c r="G63" s="4">
        <v>315.04000000000002</v>
      </c>
    </row>
    <row r="64" spans="1:7" x14ac:dyDescent="0.45">
      <c r="A64" s="3" t="s">
        <v>79</v>
      </c>
      <c r="B64" s="4" t="s">
        <v>75</v>
      </c>
      <c r="C64" s="5">
        <v>44565</v>
      </c>
      <c r="D64" s="4">
        <v>16</v>
      </c>
      <c r="E64" s="4">
        <v>1</v>
      </c>
      <c r="F64" s="26">
        <f t="shared" si="1"/>
        <v>15</v>
      </c>
      <c r="G64" s="4">
        <v>315.04000000000002</v>
      </c>
    </row>
    <row r="65" spans="1:7" x14ac:dyDescent="0.45">
      <c r="A65" s="3" t="s">
        <v>80</v>
      </c>
      <c r="B65" s="4" t="s">
        <v>75</v>
      </c>
      <c r="C65" s="5">
        <v>44641</v>
      </c>
      <c r="D65" s="4">
        <v>18</v>
      </c>
      <c r="E65" s="4">
        <v>3</v>
      </c>
      <c r="F65" s="26">
        <f t="shared" si="1"/>
        <v>15</v>
      </c>
      <c r="G65" s="4">
        <v>315.04000000000002</v>
      </c>
    </row>
    <row r="66" spans="1:7" x14ac:dyDescent="0.45">
      <c r="A66" s="3" t="s">
        <v>81</v>
      </c>
      <c r="B66" s="4" t="s">
        <v>75</v>
      </c>
      <c r="C66" s="5">
        <v>44648</v>
      </c>
      <c r="D66" s="4">
        <v>18</v>
      </c>
      <c r="E66" s="4">
        <v>4</v>
      </c>
      <c r="F66" s="26">
        <f t="shared" si="1"/>
        <v>14</v>
      </c>
      <c r="G66" s="4">
        <v>315.04000000000002</v>
      </c>
    </row>
    <row r="67" spans="1:7" x14ac:dyDescent="0.45">
      <c r="A67" s="3" t="s">
        <v>82</v>
      </c>
      <c r="B67" s="4" t="s">
        <v>75</v>
      </c>
      <c r="C67" s="5">
        <v>44683</v>
      </c>
      <c r="D67" s="4">
        <v>18</v>
      </c>
      <c r="E67" s="4">
        <v>2</v>
      </c>
      <c r="F67" s="26">
        <f t="shared" si="1"/>
        <v>16</v>
      </c>
      <c r="G67" s="4">
        <v>315.04000000000002</v>
      </c>
    </row>
    <row r="68" spans="1:7" x14ac:dyDescent="0.45">
      <c r="A68" s="3" t="s">
        <v>83</v>
      </c>
      <c r="B68" s="4" t="s">
        <v>75</v>
      </c>
      <c r="C68" s="5">
        <v>44718</v>
      </c>
      <c r="D68" s="4">
        <v>18</v>
      </c>
      <c r="E68" s="4">
        <v>2</v>
      </c>
      <c r="F68" s="26">
        <f t="shared" ref="F68:F99" si="2">D68-E68</f>
        <v>16</v>
      </c>
      <c r="G68" s="4">
        <v>315.04000000000002</v>
      </c>
    </row>
    <row r="69" spans="1:7" x14ac:dyDescent="0.45">
      <c r="A69" s="3" t="s">
        <v>84</v>
      </c>
      <c r="B69" s="4" t="s">
        <v>75</v>
      </c>
      <c r="C69" s="5">
        <v>44747</v>
      </c>
      <c r="D69" s="4">
        <v>16</v>
      </c>
      <c r="E69" s="4">
        <v>13</v>
      </c>
      <c r="F69" s="26">
        <f t="shared" si="2"/>
        <v>3</v>
      </c>
      <c r="G69" s="4">
        <v>366.67</v>
      </c>
    </row>
    <row r="70" spans="1:7" x14ac:dyDescent="0.45">
      <c r="A70" s="3" t="s">
        <v>85</v>
      </c>
      <c r="B70" s="4" t="s">
        <v>75</v>
      </c>
      <c r="C70" s="5">
        <v>45027</v>
      </c>
      <c r="D70" s="4">
        <v>16</v>
      </c>
      <c r="E70" s="4">
        <v>4</v>
      </c>
      <c r="F70" s="26">
        <f t="shared" si="2"/>
        <v>12</v>
      </c>
      <c r="G70" s="4">
        <v>315.04000000000002</v>
      </c>
    </row>
    <row r="71" spans="1:7" x14ac:dyDescent="0.45">
      <c r="A71" s="3" t="s">
        <v>86</v>
      </c>
      <c r="B71" s="4" t="s">
        <v>75</v>
      </c>
      <c r="C71" s="5">
        <v>45085</v>
      </c>
      <c r="D71" s="4">
        <v>16</v>
      </c>
      <c r="E71" s="4">
        <v>0</v>
      </c>
      <c r="F71" s="26">
        <f t="shared" si="2"/>
        <v>16</v>
      </c>
      <c r="G71" s="4">
        <v>315.04000000000002</v>
      </c>
    </row>
    <row r="72" spans="1:7" x14ac:dyDescent="0.45">
      <c r="A72" s="3" t="s">
        <v>87</v>
      </c>
      <c r="B72" s="4" t="s">
        <v>75</v>
      </c>
      <c r="C72" s="5">
        <v>45288</v>
      </c>
      <c r="D72" s="4">
        <v>14</v>
      </c>
      <c r="E72" s="4">
        <v>7</v>
      </c>
      <c r="F72" s="26">
        <f t="shared" si="2"/>
        <v>7</v>
      </c>
      <c r="G72" s="4">
        <v>315.04000000000002</v>
      </c>
    </row>
    <row r="73" spans="1:7" x14ac:dyDescent="0.45">
      <c r="A73" s="3" t="s">
        <v>88</v>
      </c>
      <c r="B73" s="4" t="s">
        <v>75</v>
      </c>
      <c r="C73" s="5">
        <v>45692</v>
      </c>
      <c r="D73" s="4">
        <v>12</v>
      </c>
      <c r="E73" s="4">
        <v>6</v>
      </c>
      <c r="F73" s="26">
        <f t="shared" si="2"/>
        <v>6</v>
      </c>
      <c r="G73" s="4">
        <v>315.04000000000002</v>
      </c>
    </row>
    <row r="74" spans="1:7" x14ac:dyDescent="0.45">
      <c r="A74" s="3" t="s">
        <v>89</v>
      </c>
      <c r="B74" s="4" t="s">
        <v>75</v>
      </c>
      <c r="C74" s="5">
        <v>45915</v>
      </c>
      <c r="D74" s="4">
        <v>12</v>
      </c>
      <c r="E74" s="4">
        <v>0</v>
      </c>
      <c r="F74" s="26">
        <f t="shared" si="2"/>
        <v>12</v>
      </c>
      <c r="G74" s="4">
        <v>315.04000000000002</v>
      </c>
    </row>
    <row r="75" spans="1:7" x14ac:dyDescent="0.45">
      <c r="A75" s="10" t="s">
        <v>90</v>
      </c>
      <c r="B75" s="11" t="s">
        <v>75</v>
      </c>
      <c r="C75" s="12">
        <v>46063</v>
      </c>
      <c r="D75" s="11">
        <v>12</v>
      </c>
      <c r="E75" s="11">
        <v>0</v>
      </c>
      <c r="F75" s="27">
        <f t="shared" si="2"/>
        <v>12</v>
      </c>
      <c r="G75" s="4">
        <v>315.04000000000002</v>
      </c>
    </row>
    <row r="76" spans="1:7" x14ac:dyDescent="0.45">
      <c r="A76" s="10" t="s">
        <v>91</v>
      </c>
      <c r="B76" s="11" t="s">
        <v>75</v>
      </c>
      <c r="C76" s="12">
        <v>46100</v>
      </c>
      <c r="D76" s="11">
        <v>12</v>
      </c>
      <c r="E76" s="11">
        <v>0</v>
      </c>
      <c r="F76" s="27">
        <f t="shared" si="2"/>
        <v>12</v>
      </c>
      <c r="G76" s="4">
        <v>315.04000000000002</v>
      </c>
    </row>
    <row r="77" spans="1:7" x14ac:dyDescent="0.45">
      <c r="A77" s="10" t="s">
        <v>92</v>
      </c>
      <c r="B77" s="11" t="s">
        <v>75</v>
      </c>
      <c r="C77" s="12">
        <v>46107</v>
      </c>
      <c r="D77" s="11">
        <v>12</v>
      </c>
      <c r="E77" s="11">
        <v>0</v>
      </c>
      <c r="F77" s="27">
        <f t="shared" si="2"/>
        <v>12</v>
      </c>
      <c r="G77" s="4">
        <v>315.04000000000002</v>
      </c>
    </row>
    <row r="78" spans="1:7" x14ac:dyDescent="0.45">
      <c r="A78" s="10" t="s">
        <v>93</v>
      </c>
      <c r="B78" s="11" t="s">
        <v>75</v>
      </c>
      <c r="C78" s="12">
        <v>46258</v>
      </c>
      <c r="D78" s="11">
        <v>12</v>
      </c>
      <c r="E78" s="11">
        <v>0</v>
      </c>
      <c r="F78" s="27">
        <f t="shared" si="2"/>
        <v>12</v>
      </c>
      <c r="G78" s="4">
        <v>315.04000000000002</v>
      </c>
    </row>
    <row r="79" spans="1:7" x14ac:dyDescent="0.45">
      <c r="A79" s="3" t="s">
        <v>94</v>
      </c>
      <c r="B79" s="4" t="s">
        <v>95</v>
      </c>
      <c r="C79" s="5">
        <v>45110</v>
      </c>
      <c r="D79" s="4">
        <v>14</v>
      </c>
      <c r="E79" s="4">
        <v>14</v>
      </c>
      <c r="F79" s="26">
        <f t="shared" si="2"/>
        <v>0</v>
      </c>
      <c r="G79" s="4">
        <v>315.04000000000002</v>
      </c>
    </row>
    <row r="80" spans="1:7" x14ac:dyDescent="0.45">
      <c r="A80" s="10" t="s">
        <v>96</v>
      </c>
      <c r="B80" s="11" t="s">
        <v>95</v>
      </c>
      <c r="C80" s="12">
        <v>46121</v>
      </c>
      <c r="D80" s="11">
        <v>12</v>
      </c>
      <c r="E80" s="11">
        <v>0</v>
      </c>
      <c r="F80" s="27">
        <f t="shared" si="2"/>
        <v>12</v>
      </c>
      <c r="G80" s="4">
        <v>315.04000000000002</v>
      </c>
    </row>
    <row r="81" spans="1:7" x14ac:dyDescent="0.45">
      <c r="A81" s="10" t="s">
        <v>97</v>
      </c>
      <c r="B81" s="11" t="s">
        <v>95</v>
      </c>
      <c r="C81" s="12">
        <v>46027</v>
      </c>
      <c r="D81" s="11">
        <v>12</v>
      </c>
      <c r="E81" s="11">
        <v>0</v>
      </c>
      <c r="F81" s="27">
        <f t="shared" si="2"/>
        <v>12</v>
      </c>
      <c r="G81" s="4">
        <v>333.33</v>
      </c>
    </row>
    <row r="82" spans="1:7" x14ac:dyDescent="0.45">
      <c r="A82" s="10" t="s">
        <v>98</v>
      </c>
      <c r="B82" s="11" t="s">
        <v>95</v>
      </c>
      <c r="C82" s="12">
        <v>46272</v>
      </c>
      <c r="D82" s="11">
        <v>12</v>
      </c>
      <c r="E82" s="11">
        <v>0</v>
      </c>
      <c r="F82" s="27">
        <f t="shared" si="2"/>
        <v>12</v>
      </c>
      <c r="G82" s="4">
        <v>315.04000000000002</v>
      </c>
    </row>
    <row r="83" spans="1:7" x14ac:dyDescent="0.45">
      <c r="A83" s="10" t="s">
        <v>99</v>
      </c>
      <c r="B83" s="11" t="s">
        <v>95</v>
      </c>
      <c r="C83" s="12">
        <v>46289</v>
      </c>
      <c r="D83" s="11">
        <v>12</v>
      </c>
      <c r="E83" s="11">
        <v>0</v>
      </c>
      <c r="F83" s="27">
        <f t="shared" si="2"/>
        <v>12</v>
      </c>
      <c r="G83" s="4">
        <v>315.04000000000002</v>
      </c>
    </row>
    <row r="84" spans="1:7" x14ac:dyDescent="0.45">
      <c r="A84" s="10" t="s">
        <v>100</v>
      </c>
      <c r="B84" s="11" t="s">
        <v>95</v>
      </c>
      <c r="C84" s="12">
        <v>46286</v>
      </c>
      <c r="D84" s="11">
        <v>12</v>
      </c>
      <c r="E84" s="11">
        <v>0</v>
      </c>
      <c r="F84" s="27">
        <f t="shared" si="2"/>
        <v>12</v>
      </c>
      <c r="G84" s="4">
        <v>315.04000000000002</v>
      </c>
    </row>
    <row r="85" spans="1:7" x14ac:dyDescent="0.45">
      <c r="A85" s="3" t="s">
        <v>101</v>
      </c>
      <c r="B85" s="4" t="s">
        <v>102</v>
      </c>
      <c r="C85" s="5">
        <v>44718</v>
      </c>
      <c r="D85" s="4">
        <v>16</v>
      </c>
      <c r="E85" s="4">
        <v>15</v>
      </c>
      <c r="F85" s="26">
        <f t="shared" si="2"/>
        <v>1</v>
      </c>
      <c r="G85" s="4">
        <v>315.04000000000002</v>
      </c>
    </row>
    <row r="86" spans="1:7" x14ac:dyDescent="0.45">
      <c r="A86" s="3" t="s">
        <v>103</v>
      </c>
      <c r="B86" s="4" t="s">
        <v>102</v>
      </c>
      <c r="C86" s="5">
        <v>45152</v>
      </c>
      <c r="D86" s="4">
        <v>14</v>
      </c>
      <c r="E86" s="4">
        <v>3</v>
      </c>
      <c r="F86" s="26">
        <f t="shared" si="2"/>
        <v>11</v>
      </c>
      <c r="G86" s="4">
        <v>315.04000000000002</v>
      </c>
    </row>
    <row r="87" spans="1:7" x14ac:dyDescent="0.45">
      <c r="A87" s="3" t="s">
        <v>104</v>
      </c>
      <c r="B87" s="4" t="s">
        <v>102</v>
      </c>
      <c r="C87" s="5">
        <v>45400</v>
      </c>
      <c r="D87" s="4">
        <v>14</v>
      </c>
      <c r="E87" s="4">
        <v>2</v>
      </c>
      <c r="F87" s="26">
        <f t="shared" si="2"/>
        <v>12</v>
      </c>
      <c r="G87" s="4">
        <v>366.67</v>
      </c>
    </row>
    <row r="88" spans="1:7" x14ac:dyDescent="0.45">
      <c r="A88" s="3" t="s">
        <v>105</v>
      </c>
      <c r="B88" s="4" t="s">
        <v>102</v>
      </c>
      <c r="C88" s="5">
        <v>45407</v>
      </c>
      <c r="D88" s="4">
        <v>14</v>
      </c>
      <c r="E88" s="4">
        <v>3</v>
      </c>
      <c r="F88" s="26">
        <f t="shared" si="2"/>
        <v>11</v>
      </c>
      <c r="G88" s="4">
        <v>315.04000000000002</v>
      </c>
    </row>
    <row r="89" spans="1:7" x14ac:dyDescent="0.45">
      <c r="A89" s="3" t="s">
        <v>106</v>
      </c>
      <c r="B89" s="4" t="s">
        <v>102</v>
      </c>
      <c r="C89" s="5">
        <v>45762</v>
      </c>
      <c r="D89" s="4">
        <v>12</v>
      </c>
      <c r="E89" s="4">
        <v>6</v>
      </c>
      <c r="F89" s="26">
        <f t="shared" si="2"/>
        <v>6</v>
      </c>
      <c r="G89" s="4">
        <v>315.04000000000002</v>
      </c>
    </row>
    <row r="90" spans="1:7" x14ac:dyDescent="0.45">
      <c r="A90" s="3" t="s">
        <v>107</v>
      </c>
      <c r="B90" s="4" t="s">
        <v>102</v>
      </c>
      <c r="C90" s="5">
        <v>45859</v>
      </c>
      <c r="D90" s="4">
        <v>12</v>
      </c>
      <c r="E90" s="4">
        <v>9</v>
      </c>
      <c r="F90" s="26">
        <f t="shared" si="2"/>
        <v>3</v>
      </c>
      <c r="G90" s="4">
        <v>315.04000000000002</v>
      </c>
    </row>
    <row r="91" spans="1:7" x14ac:dyDescent="0.45">
      <c r="A91" s="3" t="s">
        <v>108</v>
      </c>
      <c r="B91" s="4" t="s">
        <v>102</v>
      </c>
      <c r="C91" s="5">
        <v>45867</v>
      </c>
      <c r="D91" s="4">
        <v>12</v>
      </c>
      <c r="E91" s="4">
        <v>0</v>
      </c>
      <c r="F91" s="26">
        <f t="shared" si="2"/>
        <v>12</v>
      </c>
      <c r="G91" s="4">
        <v>315.04000000000002</v>
      </c>
    </row>
    <row r="92" spans="1:7" x14ac:dyDescent="0.45">
      <c r="A92" s="3" t="s">
        <v>109</v>
      </c>
      <c r="B92" s="4" t="s">
        <v>102</v>
      </c>
      <c r="C92" s="5">
        <v>45978</v>
      </c>
      <c r="D92" s="4">
        <v>12</v>
      </c>
      <c r="E92" s="4">
        <v>0</v>
      </c>
      <c r="F92" s="26">
        <f t="shared" si="2"/>
        <v>12</v>
      </c>
      <c r="G92" s="4">
        <v>315.04000000000002</v>
      </c>
    </row>
    <row r="93" spans="1:7" x14ac:dyDescent="0.45">
      <c r="A93" s="10" t="s">
        <v>110</v>
      </c>
      <c r="B93" s="11" t="s">
        <v>102</v>
      </c>
      <c r="C93" s="12">
        <v>46141</v>
      </c>
      <c r="D93" s="11">
        <v>12</v>
      </c>
      <c r="E93" s="11">
        <v>0</v>
      </c>
      <c r="F93" s="27">
        <f t="shared" si="2"/>
        <v>12</v>
      </c>
      <c r="G93" s="4">
        <v>333.33</v>
      </c>
    </row>
    <row r="94" spans="1:7" x14ac:dyDescent="0.45">
      <c r="A94" s="10" t="s">
        <v>111</v>
      </c>
      <c r="B94" s="11" t="s">
        <v>102</v>
      </c>
      <c r="C94" s="12">
        <v>46281</v>
      </c>
      <c r="D94" s="11">
        <v>12</v>
      </c>
      <c r="E94" s="11">
        <v>0</v>
      </c>
      <c r="F94" s="27">
        <f t="shared" si="2"/>
        <v>12</v>
      </c>
      <c r="G94" s="4">
        <v>315.04000000000002</v>
      </c>
    </row>
    <row r="95" spans="1:7" x14ac:dyDescent="0.45">
      <c r="A95" s="3" t="s">
        <v>112</v>
      </c>
      <c r="B95" s="4" t="s">
        <v>113</v>
      </c>
      <c r="C95" s="5">
        <v>44396</v>
      </c>
      <c r="D95" s="4">
        <v>18</v>
      </c>
      <c r="E95" s="4">
        <v>6</v>
      </c>
      <c r="F95" s="26">
        <f t="shared" si="2"/>
        <v>12</v>
      </c>
      <c r="G95" s="4">
        <v>366.67</v>
      </c>
    </row>
    <row r="96" spans="1:7" x14ac:dyDescent="0.45">
      <c r="A96" s="3" t="s">
        <v>114</v>
      </c>
      <c r="B96" s="4" t="s">
        <v>113</v>
      </c>
      <c r="C96" s="5">
        <v>44998</v>
      </c>
      <c r="D96" s="4">
        <v>16</v>
      </c>
      <c r="E96" s="4">
        <v>1</v>
      </c>
      <c r="F96" s="26">
        <f t="shared" si="2"/>
        <v>15</v>
      </c>
      <c r="G96" s="4">
        <v>315.04000000000002</v>
      </c>
    </row>
    <row r="97" spans="1:7" x14ac:dyDescent="0.45">
      <c r="A97" s="3" t="s">
        <v>115</v>
      </c>
      <c r="B97" s="4" t="s">
        <v>113</v>
      </c>
      <c r="C97" s="5">
        <v>45503</v>
      </c>
      <c r="D97" s="4">
        <v>14</v>
      </c>
      <c r="E97" s="4">
        <v>2</v>
      </c>
      <c r="F97" s="26">
        <f t="shared" si="2"/>
        <v>12</v>
      </c>
      <c r="G97" s="4">
        <v>315.04000000000002</v>
      </c>
    </row>
    <row r="98" spans="1:7" x14ac:dyDescent="0.45">
      <c r="A98" s="3" t="s">
        <v>116</v>
      </c>
      <c r="B98" s="4" t="s">
        <v>113</v>
      </c>
      <c r="C98" s="5">
        <v>45281</v>
      </c>
      <c r="D98" s="4">
        <v>14</v>
      </c>
      <c r="E98" s="4">
        <v>9</v>
      </c>
      <c r="F98" s="26">
        <f t="shared" si="2"/>
        <v>5</v>
      </c>
      <c r="G98" s="4">
        <v>366.67</v>
      </c>
    </row>
    <row r="99" spans="1:7" x14ac:dyDescent="0.45">
      <c r="A99" s="3" t="s">
        <v>117</v>
      </c>
      <c r="B99" s="4" t="s">
        <v>113</v>
      </c>
      <c r="C99" s="5">
        <v>45848</v>
      </c>
      <c r="D99" s="4">
        <v>12</v>
      </c>
      <c r="E99" s="4">
        <v>0</v>
      </c>
      <c r="F99" s="26">
        <f t="shared" si="2"/>
        <v>12</v>
      </c>
      <c r="G99" s="4">
        <v>315.04000000000002</v>
      </c>
    </row>
    <row r="100" spans="1:7" x14ac:dyDescent="0.45">
      <c r="A100" s="10" t="s">
        <v>118</v>
      </c>
      <c r="B100" s="11" t="s">
        <v>113</v>
      </c>
      <c r="C100" s="12">
        <v>46198</v>
      </c>
      <c r="D100" s="11">
        <v>12</v>
      </c>
      <c r="E100" s="11">
        <v>0</v>
      </c>
      <c r="F100" s="27">
        <f t="shared" ref="F100:F105" si="3">D100-E100</f>
        <v>12</v>
      </c>
      <c r="G100" s="4">
        <v>315.04000000000002</v>
      </c>
    </row>
    <row r="101" spans="1:7" x14ac:dyDescent="0.45">
      <c r="A101" s="10" t="s">
        <v>119</v>
      </c>
      <c r="B101" s="11" t="s">
        <v>113</v>
      </c>
      <c r="C101" s="12">
        <v>46230</v>
      </c>
      <c r="D101" s="11">
        <v>12</v>
      </c>
      <c r="E101" s="11">
        <v>0</v>
      </c>
      <c r="F101" s="27">
        <f t="shared" si="3"/>
        <v>12</v>
      </c>
      <c r="G101" s="4">
        <v>315.04000000000002</v>
      </c>
    </row>
    <row r="102" spans="1:7" x14ac:dyDescent="0.45">
      <c r="A102" s="10" t="s">
        <v>120</v>
      </c>
      <c r="B102" s="11" t="s">
        <v>113</v>
      </c>
      <c r="C102" s="12">
        <v>46272</v>
      </c>
      <c r="D102" s="11">
        <v>12</v>
      </c>
      <c r="E102" s="11">
        <v>0</v>
      </c>
      <c r="F102" s="27">
        <f t="shared" si="3"/>
        <v>12</v>
      </c>
      <c r="G102" s="4">
        <v>315.04000000000002</v>
      </c>
    </row>
    <row r="103" spans="1:7" x14ac:dyDescent="0.45">
      <c r="A103" s="10" t="s">
        <v>121</v>
      </c>
      <c r="B103" s="11" t="s">
        <v>113</v>
      </c>
      <c r="C103" s="12">
        <v>46272</v>
      </c>
      <c r="D103" s="11">
        <v>12</v>
      </c>
      <c r="E103" s="11">
        <v>0</v>
      </c>
      <c r="F103" s="27">
        <f t="shared" si="3"/>
        <v>12</v>
      </c>
      <c r="G103" s="4">
        <v>333.33</v>
      </c>
    </row>
    <row r="104" spans="1:7" x14ac:dyDescent="0.45">
      <c r="A104" s="10" t="s">
        <v>122</v>
      </c>
      <c r="B104" s="11" t="s">
        <v>113</v>
      </c>
      <c r="C104" s="12">
        <v>46286</v>
      </c>
      <c r="D104" s="11">
        <v>12</v>
      </c>
      <c r="E104" s="11">
        <v>0</v>
      </c>
      <c r="F104" s="27">
        <f t="shared" si="3"/>
        <v>12</v>
      </c>
      <c r="G104" s="4">
        <v>315.04000000000002</v>
      </c>
    </row>
    <row r="105" spans="1:7" x14ac:dyDescent="0.45">
      <c r="A105" s="30" t="s">
        <v>133</v>
      </c>
      <c r="B105" s="33" t="s">
        <v>184</v>
      </c>
      <c r="C105" s="31" t="s">
        <v>134</v>
      </c>
      <c r="D105" s="32">
        <v>20</v>
      </c>
      <c r="E105" s="32">
        <v>15</v>
      </c>
      <c r="F105" s="34">
        <f t="shared" si="3"/>
        <v>5</v>
      </c>
      <c r="G105" s="33">
        <v>2714.3</v>
      </c>
    </row>
    <row r="106" spans="1:7" x14ac:dyDescent="0.45">
      <c r="A106" s="30" t="s">
        <v>135</v>
      </c>
      <c r="B106" s="33" t="s">
        <v>184</v>
      </c>
      <c r="C106" s="31" t="s">
        <v>136</v>
      </c>
      <c r="D106" s="32">
        <v>20</v>
      </c>
      <c r="E106" s="32">
        <v>20</v>
      </c>
      <c r="F106" s="34">
        <f>D106-E106</f>
        <v>0</v>
      </c>
      <c r="G106" s="33">
        <v>900</v>
      </c>
    </row>
    <row r="107" spans="1:7" x14ac:dyDescent="0.45">
      <c r="A107" s="30" t="s">
        <v>137</v>
      </c>
      <c r="B107" s="33" t="s">
        <v>184</v>
      </c>
      <c r="C107" s="31" t="s">
        <v>138</v>
      </c>
      <c r="D107" s="32">
        <v>18</v>
      </c>
      <c r="E107" s="32">
        <v>2</v>
      </c>
      <c r="F107" s="34">
        <f>D107-E107</f>
        <v>16</v>
      </c>
      <c r="G107" s="33">
        <v>315.04000000000002</v>
      </c>
    </row>
    <row r="108" spans="1:7" x14ac:dyDescent="0.45">
      <c r="A108" s="30" t="s">
        <v>139</v>
      </c>
      <c r="B108" s="33" t="s">
        <v>184</v>
      </c>
      <c r="C108" s="31" t="s">
        <v>138</v>
      </c>
      <c r="D108" s="32">
        <v>18</v>
      </c>
      <c r="E108" s="32">
        <v>1</v>
      </c>
      <c r="F108" s="34">
        <f>D108-E108</f>
        <v>17</v>
      </c>
      <c r="G108" s="33">
        <v>533.34</v>
      </c>
    </row>
    <row r="109" spans="1:7" x14ac:dyDescent="0.45">
      <c r="A109" s="30" t="s">
        <v>140</v>
      </c>
      <c r="B109" s="33" t="s">
        <v>184</v>
      </c>
      <c r="C109" s="31" t="s">
        <v>141</v>
      </c>
      <c r="D109" s="35">
        <v>16</v>
      </c>
      <c r="E109" s="35">
        <v>4</v>
      </c>
      <c r="F109" s="35">
        <f>D109-E109</f>
        <v>12</v>
      </c>
      <c r="G109" s="33">
        <v>633.33000000000004</v>
      </c>
    </row>
    <row r="110" spans="1:7" x14ac:dyDescent="0.45">
      <c r="A110" s="30" t="s">
        <v>142</v>
      </c>
      <c r="B110" s="33" t="s">
        <v>184</v>
      </c>
      <c r="C110" s="31" t="s">
        <v>143</v>
      </c>
      <c r="D110" s="35">
        <v>16</v>
      </c>
      <c r="E110" s="35">
        <v>5</v>
      </c>
      <c r="F110" s="35">
        <f>D110-E110</f>
        <v>11</v>
      </c>
      <c r="G110" s="33">
        <v>833.33</v>
      </c>
    </row>
    <row r="111" spans="1:7" x14ac:dyDescent="0.45">
      <c r="A111" s="30" t="s">
        <v>144</v>
      </c>
      <c r="B111" s="33" t="s">
        <v>184</v>
      </c>
      <c r="C111" s="31" t="s">
        <v>145</v>
      </c>
      <c r="D111" s="35">
        <v>13</v>
      </c>
      <c r="E111" s="35">
        <v>4</v>
      </c>
      <c r="F111" s="35">
        <f>D111-E111</f>
        <v>9</v>
      </c>
      <c r="G111" s="33">
        <v>500</v>
      </c>
    </row>
    <row r="112" spans="1:7" x14ac:dyDescent="0.45">
      <c r="A112" s="30" t="s">
        <v>146</v>
      </c>
      <c r="B112" s="33" t="s">
        <v>184</v>
      </c>
      <c r="C112" s="31" t="s">
        <v>147</v>
      </c>
      <c r="D112" s="35">
        <v>14</v>
      </c>
      <c r="E112" s="35">
        <v>6</v>
      </c>
      <c r="F112" s="35">
        <f>D112-E112</f>
        <v>8</v>
      </c>
      <c r="G112" s="33">
        <v>380</v>
      </c>
    </row>
    <row r="113" spans="1:7" x14ac:dyDescent="0.45">
      <c r="A113" s="30" t="s">
        <v>148</v>
      </c>
      <c r="B113" s="33" t="s">
        <v>184</v>
      </c>
      <c r="C113" s="31" t="s">
        <v>149</v>
      </c>
      <c r="D113" s="35">
        <v>12</v>
      </c>
      <c r="E113" s="35">
        <v>0</v>
      </c>
      <c r="F113" s="35">
        <f t="shared" ref="F113:F129" si="4">D113-E113</f>
        <v>12</v>
      </c>
      <c r="G113" s="33">
        <v>347.25</v>
      </c>
    </row>
    <row r="114" spans="1:7" x14ac:dyDescent="0.45">
      <c r="A114" s="30" t="s">
        <v>150</v>
      </c>
      <c r="B114" s="33" t="s">
        <v>184</v>
      </c>
      <c r="C114" s="31" t="s">
        <v>151</v>
      </c>
      <c r="D114" s="35">
        <v>18</v>
      </c>
      <c r="E114" s="35">
        <v>5</v>
      </c>
      <c r="F114" s="35">
        <f t="shared" si="4"/>
        <v>13</v>
      </c>
      <c r="G114" s="36">
        <v>315.04000000000002</v>
      </c>
    </row>
    <row r="115" spans="1:7" x14ac:dyDescent="0.45">
      <c r="A115" s="30" t="s">
        <v>152</v>
      </c>
      <c r="B115" s="33" t="s">
        <v>184</v>
      </c>
      <c r="C115" s="31" t="s">
        <v>153</v>
      </c>
      <c r="D115" s="35">
        <v>14</v>
      </c>
      <c r="E115" s="35">
        <v>1</v>
      </c>
      <c r="F115" s="35">
        <f t="shared" si="4"/>
        <v>13</v>
      </c>
      <c r="G115" s="36">
        <v>315.04000000000002</v>
      </c>
    </row>
    <row r="116" spans="1:7" x14ac:dyDescent="0.45">
      <c r="A116" s="30" t="s">
        <v>154</v>
      </c>
      <c r="B116" s="33" t="s">
        <v>184</v>
      </c>
      <c r="C116" s="31" t="s">
        <v>155</v>
      </c>
      <c r="D116" s="35">
        <v>14</v>
      </c>
      <c r="E116" s="35">
        <v>14</v>
      </c>
      <c r="F116" s="35">
        <f t="shared" si="4"/>
        <v>0</v>
      </c>
      <c r="G116" s="36">
        <v>1333.33</v>
      </c>
    </row>
    <row r="117" spans="1:7" x14ac:dyDescent="0.45">
      <c r="A117" s="30" t="s">
        <v>156</v>
      </c>
      <c r="B117" s="33" t="s">
        <v>184</v>
      </c>
      <c r="C117" s="31" t="s">
        <v>157</v>
      </c>
      <c r="D117" s="35">
        <v>18</v>
      </c>
      <c r="E117" s="35">
        <v>9</v>
      </c>
      <c r="F117" s="35">
        <f t="shared" si="4"/>
        <v>9</v>
      </c>
      <c r="G117" s="36">
        <v>500</v>
      </c>
    </row>
    <row r="118" spans="1:7" x14ac:dyDescent="0.45">
      <c r="A118" s="30" t="s">
        <v>158</v>
      </c>
      <c r="B118" s="33" t="s">
        <v>184</v>
      </c>
      <c r="C118" s="31" t="s">
        <v>159</v>
      </c>
      <c r="D118" s="35">
        <v>14</v>
      </c>
      <c r="E118" s="35">
        <v>0</v>
      </c>
      <c r="F118" s="35">
        <f t="shared" ref="F118" si="5">D118-E118</f>
        <v>14</v>
      </c>
      <c r="G118" s="37">
        <v>351.63</v>
      </c>
    </row>
    <row r="119" spans="1:7" x14ac:dyDescent="0.45">
      <c r="A119" s="30" t="s">
        <v>160</v>
      </c>
      <c r="B119" s="33" t="s">
        <v>184</v>
      </c>
      <c r="C119" s="31" t="s">
        <v>161</v>
      </c>
      <c r="D119" s="35">
        <v>12</v>
      </c>
      <c r="E119" s="35">
        <v>6</v>
      </c>
      <c r="F119" s="35">
        <f>D119-E119</f>
        <v>6</v>
      </c>
      <c r="G119" s="36">
        <v>315.04000000000002</v>
      </c>
    </row>
    <row r="120" spans="1:7" x14ac:dyDescent="0.45">
      <c r="A120" s="30" t="s">
        <v>162</v>
      </c>
      <c r="B120" s="33" t="s">
        <v>184</v>
      </c>
      <c r="C120" s="31" t="s">
        <v>163</v>
      </c>
      <c r="D120" s="35">
        <v>12</v>
      </c>
      <c r="E120" s="35">
        <v>1</v>
      </c>
      <c r="F120" s="35">
        <f t="shared" si="4"/>
        <v>11</v>
      </c>
      <c r="G120" s="36">
        <v>315.04000000000002</v>
      </c>
    </row>
    <row r="121" spans="1:7" x14ac:dyDescent="0.45">
      <c r="A121" s="30" t="s">
        <v>164</v>
      </c>
      <c r="B121" s="33" t="s">
        <v>184</v>
      </c>
      <c r="C121" s="31" t="s">
        <v>165</v>
      </c>
      <c r="D121" s="35">
        <v>12</v>
      </c>
      <c r="E121" s="35">
        <v>0</v>
      </c>
      <c r="F121" s="35">
        <f t="shared" si="4"/>
        <v>12</v>
      </c>
      <c r="G121" s="36">
        <v>347.25</v>
      </c>
    </row>
    <row r="122" spans="1:7" x14ac:dyDescent="0.45">
      <c r="A122" s="30" t="s">
        <v>166</v>
      </c>
      <c r="B122" s="33" t="s">
        <v>184</v>
      </c>
      <c r="C122" s="31" t="s">
        <v>167</v>
      </c>
      <c r="D122" s="35">
        <v>12</v>
      </c>
      <c r="E122" s="35">
        <v>2</v>
      </c>
      <c r="F122" s="35">
        <f t="shared" si="4"/>
        <v>10</v>
      </c>
      <c r="G122" s="36">
        <v>466.66</v>
      </c>
    </row>
    <row r="123" spans="1:7" x14ac:dyDescent="0.45">
      <c r="A123" s="30" t="s">
        <v>168</v>
      </c>
      <c r="B123" s="33" t="s">
        <v>184</v>
      </c>
      <c r="C123" s="31" t="s">
        <v>169</v>
      </c>
      <c r="D123" s="35">
        <v>12</v>
      </c>
      <c r="E123" s="35">
        <v>0</v>
      </c>
      <c r="F123" s="35">
        <f t="shared" si="4"/>
        <v>12</v>
      </c>
      <c r="G123" s="36">
        <v>200</v>
      </c>
    </row>
    <row r="124" spans="1:7" x14ac:dyDescent="0.45">
      <c r="A124" s="30" t="s">
        <v>170</v>
      </c>
      <c r="B124" s="33" t="s">
        <v>184</v>
      </c>
      <c r="C124" s="31" t="s">
        <v>171</v>
      </c>
      <c r="D124" s="35">
        <v>12</v>
      </c>
      <c r="E124" s="35">
        <v>0</v>
      </c>
      <c r="F124" s="35">
        <f t="shared" si="4"/>
        <v>12</v>
      </c>
      <c r="G124" s="36">
        <v>800</v>
      </c>
    </row>
    <row r="125" spans="1:7" x14ac:dyDescent="0.45">
      <c r="A125" s="30" t="s">
        <v>172</v>
      </c>
      <c r="B125" s="33" t="s">
        <v>184</v>
      </c>
      <c r="C125" s="31" t="s">
        <v>173</v>
      </c>
      <c r="D125" s="35">
        <v>12</v>
      </c>
      <c r="E125" s="35">
        <v>0</v>
      </c>
      <c r="F125" s="35">
        <f t="shared" si="4"/>
        <v>12</v>
      </c>
      <c r="G125" s="36">
        <v>400</v>
      </c>
    </row>
    <row r="126" spans="1:7" x14ac:dyDescent="0.45">
      <c r="A126" s="30" t="s">
        <v>174</v>
      </c>
      <c r="B126" s="33" t="s">
        <v>184</v>
      </c>
      <c r="C126" s="31" t="s">
        <v>175</v>
      </c>
      <c r="D126" s="35">
        <v>12</v>
      </c>
      <c r="E126" s="35">
        <v>0</v>
      </c>
      <c r="F126" s="35">
        <f t="shared" si="4"/>
        <v>12</v>
      </c>
      <c r="G126" s="36">
        <v>315.04000000000002</v>
      </c>
    </row>
    <row r="127" spans="1:7" x14ac:dyDescent="0.45">
      <c r="A127" s="30" t="s">
        <v>176</v>
      </c>
      <c r="B127" s="33" t="s">
        <v>184</v>
      </c>
      <c r="C127" s="31" t="s">
        <v>177</v>
      </c>
      <c r="D127" s="35">
        <v>12</v>
      </c>
      <c r="E127" s="35">
        <v>0</v>
      </c>
      <c r="F127" s="35">
        <f t="shared" si="4"/>
        <v>12</v>
      </c>
      <c r="G127" s="36">
        <v>315.04000000000002</v>
      </c>
    </row>
    <row r="128" spans="1:7" x14ac:dyDescent="0.45">
      <c r="A128" s="30" t="s">
        <v>178</v>
      </c>
      <c r="B128" s="33" t="s">
        <v>184</v>
      </c>
      <c r="C128" s="31" t="s">
        <v>179</v>
      </c>
      <c r="D128" s="35">
        <v>12</v>
      </c>
      <c r="E128" s="35">
        <v>0</v>
      </c>
      <c r="F128" s="35">
        <f t="shared" si="4"/>
        <v>12</v>
      </c>
      <c r="G128" s="36">
        <v>466.67</v>
      </c>
    </row>
    <row r="129" spans="1:7" x14ac:dyDescent="0.45">
      <c r="A129" s="30" t="s">
        <v>180</v>
      </c>
      <c r="B129" s="33" t="s">
        <v>184</v>
      </c>
      <c r="C129" s="31" t="s">
        <v>181</v>
      </c>
      <c r="D129" s="35">
        <v>12</v>
      </c>
      <c r="E129" s="35">
        <v>0</v>
      </c>
      <c r="F129" s="35">
        <f t="shared" si="4"/>
        <v>12</v>
      </c>
      <c r="G129" s="36">
        <v>466.67</v>
      </c>
    </row>
    <row r="130" spans="1:7" x14ac:dyDescent="0.45">
      <c r="A130" s="30" t="s">
        <v>182</v>
      </c>
      <c r="B130" s="33" t="s">
        <v>184</v>
      </c>
      <c r="C130" s="31" t="s">
        <v>183</v>
      </c>
    </row>
  </sheetData>
  <autoFilter ref="A4:G104" xr:uid="{00000000-0001-0000-0000-000000000000}"/>
  <mergeCells count="1">
    <mergeCell ref="A1:F3"/>
  </mergeCells>
  <conditionalFormatting sqref="A5:C104 B105:B130">
    <cfRule type="expression" dxfId="3" priority="5">
      <formula>YEAR($C5)=2026</formula>
    </cfRule>
  </conditionalFormatting>
  <conditionalFormatting sqref="F5:F129">
    <cfRule type="cellIs" dxfId="2" priority="2" operator="lessThan">
      <formula>0</formula>
    </cfRule>
    <cfRule type="cellIs" dxfId="1" priority="3" operator="greaterThanOrEqual">
      <formula>10</formula>
    </cfRule>
    <cfRule type="cellIs" dxfId="0" priority="4" operator="equal">
      <formula>0</formula>
    </cfRule>
  </conditionalFormatting>
  <dataValidations count="1">
    <dataValidation type="decimal" operator="greaterThanOrEqual" allowBlank="1" showErrorMessage="1" errorTitle="Dato no válido" error="Captura los días de vacaciones como número (0 o más)." sqref="D5:E104" xr:uid="{00000000-0002-0000-0000-000000000000}">
      <formula1>0</formula1>
      <formula2>0</formula2>
    </dataValidation>
  </dataValidations>
  <printOptions horizontalCentered="1"/>
  <pageMargins left="0.39374999999999999" right="0.39374999999999999" top="0.39374999999999999" bottom="0.39374999999999999" header="0.511811023622047" footer="0.51180555555555596"/>
  <pageSetup fitToHeight="0" orientation="portrait" horizontalDpi="300" verticalDpi="300"/>
  <headerFooter>
    <oddFooter>&amp;CPágina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G20"/>
  <sheetViews>
    <sheetView showGridLines="0" zoomScaleNormal="100" workbookViewId="0">
      <pane ySplit="4" topLeftCell="A5" activePane="bottomLeft" state="frozen"/>
      <selection pane="bottomLeft" sqref="A1:G2"/>
    </sheetView>
  </sheetViews>
  <sheetFormatPr baseColWidth="10" defaultColWidth="8.73046875" defaultRowHeight="14.25" x14ac:dyDescent="0.45"/>
  <cols>
    <col min="1" max="1" width="20" customWidth="1"/>
    <col min="2" max="2" width="15" customWidth="1"/>
    <col min="3" max="3" width="14" customWidth="1"/>
    <col min="4" max="4" width="16" customWidth="1"/>
    <col min="5" max="6" width="15" customWidth="1"/>
    <col min="7" max="7" width="12" customWidth="1"/>
  </cols>
  <sheetData>
    <row r="1" spans="1:7" x14ac:dyDescent="0.45">
      <c r="A1" s="29" t="s">
        <v>123</v>
      </c>
      <c r="B1" s="29"/>
      <c r="C1" s="29"/>
      <c r="D1" s="29"/>
      <c r="E1" s="29"/>
      <c r="F1" s="29"/>
      <c r="G1" s="29"/>
    </row>
    <row r="2" spans="1:7" x14ac:dyDescent="0.45">
      <c r="A2" s="29"/>
      <c r="B2" s="29"/>
      <c r="C2" s="29"/>
      <c r="D2" s="29"/>
      <c r="E2" s="29"/>
      <c r="F2" s="29"/>
      <c r="G2" s="29"/>
    </row>
    <row r="4" spans="1:7" ht="30" customHeight="1" x14ac:dyDescent="0.45">
      <c r="A4" s="1" t="s">
        <v>2</v>
      </c>
      <c r="B4" s="1" t="s">
        <v>124</v>
      </c>
      <c r="C4" s="1" t="s">
        <v>125</v>
      </c>
      <c r="D4" s="1" t="s">
        <v>126</v>
      </c>
      <c r="E4" s="1" t="s">
        <v>127</v>
      </c>
      <c r="F4" s="1" t="s">
        <v>6</v>
      </c>
      <c r="G4" s="1" t="s">
        <v>128</v>
      </c>
    </row>
    <row r="5" spans="1:7" x14ac:dyDescent="0.45">
      <c r="A5" s="15" t="s">
        <v>9</v>
      </c>
      <c r="B5" s="16">
        <f>COUNTIF(Trabajadores!$B$5:$B$499,A5)</f>
        <v>5</v>
      </c>
      <c r="C5" s="16">
        <f>COUNTIFS(Trabajadores!$B$5:$B$499,A5,Trabajadores!$C$5:$C$499,"&gt;="&amp;DATE(2026,1,1),Trabajadores!$C$5:$C$499,"&lt;="&amp;DATE(2026,12,31))</f>
        <v>2</v>
      </c>
      <c r="D5" s="16">
        <f>SUMIF(Trabajadores!$B$5:$B$499,A5,Trabajadores!$D$5:$D$499)</f>
        <v>70</v>
      </c>
      <c r="E5" s="16">
        <f>SUMIF(Trabajadores!$B$5:$B$499,A5,Trabajadores!$E$5:$E$499)</f>
        <v>18</v>
      </c>
      <c r="F5" s="17">
        <f t="shared" ref="F5:F15" si="0">D5-E5</f>
        <v>52</v>
      </c>
      <c r="G5" s="18">
        <f t="shared" ref="G5:G16" si="1">IFERROR(E5/D5,0)</f>
        <v>0.25714285714285712</v>
      </c>
    </row>
    <row r="6" spans="1:7" x14ac:dyDescent="0.45">
      <c r="A6" s="15" t="s">
        <v>19</v>
      </c>
      <c r="B6" s="16">
        <f>COUNTIF(Trabajadores!$B$5:$B$499,A6)</f>
        <v>7</v>
      </c>
      <c r="C6" s="16">
        <f>COUNTIFS(Trabajadores!$B$5:$B$499,A6,Trabajadores!$C$5:$C$499,"&gt;="&amp;DATE(2026,1,1),Trabajadores!$C$5:$C$499,"&lt;="&amp;DATE(2026,12,31))</f>
        <v>4</v>
      </c>
      <c r="D6" s="16">
        <f>SUMIF(Trabajadores!$B$5:$B$499,A6,Trabajadores!$D$5:$D$499)</f>
        <v>92</v>
      </c>
      <c r="E6" s="16">
        <f>SUMIF(Trabajadores!$B$5:$B$499,A6,Trabajadores!$E$5:$E$499)</f>
        <v>6</v>
      </c>
      <c r="F6" s="17">
        <f t="shared" si="0"/>
        <v>86</v>
      </c>
      <c r="G6" s="18">
        <f t="shared" si="1"/>
        <v>6.5217391304347824E-2</v>
      </c>
    </row>
    <row r="7" spans="1:7" x14ac:dyDescent="0.45">
      <c r="A7" s="15" t="s">
        <v>27</v>
      </c>
      <c r="B7" s="16">
        <f>COUNTIF(Trabajadores!$B$5:$B$499,A7)</f>
        <v>18</v>
      </c>
      <c r="C7" s="16">
        <f>COUNTIFS(Trabajadores!$B$5:$B$499,A7,Trabajadores!$C$5:$C$499,"&gt;="&amp;DATE(2026,1,1),Trabajadores!$C$5:$C$499,"&lt;="&amp;DATE(2026,12,31))</f>
        <v>1</v>
      </c>
      <c r="D7" s="16">
        <f>SUMIF(Trabajadores!$B$5:$B$499,A7,Trabajadores!$D$5:$D$499)</f>
        <v>256</v>
      </c>
      <c r="E7" s="16">
        <f>SUMIF(Trabajadores!$B$5:$B$499,A7,Trabajadores!$E$5:$E$499)</f>
        <v>83</v>
      </c>
      <c r="F7" s="17">
        <f t="shared" si="0"/>
        <v>173</v>
      </c>
      <c r="G7" s="18">
        <f t="shared" si="1"/>
        <v>0.32421875</v>
      </c>
    </row>
    <row r="8" spans="1:7" x14ac:dyDescent="0.45">
      <c r="A8" s="15" t="s">
        <v>46</v>
      </c>
      <c r="B8" s="16">
        <f>COUNTIF(Trabajadores!$B$5:$B$499,A8)</f>
        <v>5</v>
      </c>
      <c r="C8" s="16">
        <f>COUNTIFS(Trabajadores!$B$5:$B$499,A8,Trabajadores!$C$5:$C$499,"&gt;="&amp;DATE(2026,1,1),Trabajadores!$C$5:$C$499,"&lt;="&amp;DATE(2026,12,31))</f>
        <v>4</v>
      </c>
      <c r="D8" s="16">
        <f>SUMIF(Trabajadores!$B$5:$B$499,A8,Trabajadores!$D$5:$D$499)</f>
        <v>64</v>
      </c>
      <c r="E8" s="16">
        <f>SUMIF(Trabajadores!$B$5:$B$499,A8,Trabajadores!$E$5:$E$499)</f>
        <v>3</v>
      </c>
      <c r="F8" s="17">
        <f t="shared" si="0"/>
        <v>61</v>
      </c>
      <c r="G8" s="18">
        <f t="shared" si="1"/>
        <v>4.6875E-2</v>
      </c>
    </row>
    <row r="9" spans="1:7" x14ac:dyDescent="0.45">
      <c r="A9" s="15" t="s">
        <v>52</v>
      </c>
      <c r="B9" s="16">
        <f>COUNTIF(Trabajadores!$B$5:$B$499,A9)</f>
        <v>7</v>
      </c>
      <c r="C9" s="16">
        <f>COUNTIFS(Trabajadores!$B$5:$B$499,A9,Trabajadores!$C$5:$C$499,"&gt;="&amp;DATE(2026,1,1),Trabajadores!$C$5:$C$499,"&lt;="&amp;DATE(2026,12,31))</f>
        <v>6</v>
      </c>
      <c r="D9" s="16">
        <f>SUMIF(Trabajadores!$B$5:$B$499,A9,Trabajadores!$D$5:$D$499)</f>
        <v>92</v>
      </c>
      <c r="E9" s="16">
        <f>SUMIF(Trabajadores!$B$5:$B$499,A9,Trabajadores!$E$5:$E$499)</f>
        <v>6</v>
      </c>
      <c r="F9" s="17">
        <f t="shared" si="0"/>
        <v>86</v>
      </c>
      <c r="G9" s="18">
        <f t="shared" si="1"/>
        <v>6.5217391304347824E-2</v>
      </c>
    </row>
    <row r="10" spans="1:7" x14ac:dyDescent="0.45">
      <c r="A10" s="15" t="s">
        <v>60</v>
      </c>
      <c r="B10" s="16">
        <f>COUNTIF(Trabajadores!$B$5:$B$499,A10)</f>
        <v>6</v>
      </c>
      <c r="C10" s="16">
        <f>COUNTIFS(Trabajadores!$B$5:$B$499,A10,Trabajadores!$C$5:$C$499,"&gt;="&amp;DATE(2026,1,1),Trabajadores!$C$5:$C$499,"&lt;="&amp;DATE(2026,12,31))</f>
        <v>3</v>
      </c>
      <c r="D10" s="16">
        <f>SUMIF(Trabajadores!$B$5:$B$499,A10,Trabajadores!$D$5:$D$499)</f>
        <v>72</v>
      </c>
      <c r="E10" s="16">
        <f>SUMIF(Trabajadores!$B$5:$B$499,A10,Trabajadores!$E$5:$E$499)</f>
        <v>14</v>
      </c>
      <c r="F10" s="17">
        <f t="shared" si="0"/>
        <v>58</v>
      </c>
      <c r="G10" s="18">
        <f t="shared" si="1"/>
        <v>0.19444444444444445</v>
      </c>
    </row>
    <row r="11" spans="1:7" x14ac:dyDescent="0.45">
      <c r="A11" s="15" t="s">
        <v>67</v>
      </c>
      <c r="B11" s="16">
        <f>COUNTIF(Trabajadores!$B$5:$B$499,A11)</f>
        <v>7</v>
      </c>
      <c r="C11" s="16">
        <f>COUNTIFS(Trabajadores!$B$5:$B$499,A11,Trabajadores!$C$5:$C$499,"&gt;="&amp;DATE(2026,1,1),Trabajadores!$C$5:$C$499,"&lt;="&amp;DATE(2026,12,31))</f>
        <v>5</v>
      </c>
      <c r="D11" s="16">
        <f>SUMIF(Trabajadores!$B$5:$B$499,A11,Trabajadores!$D$5:$D$499)</f>
        <v>84</v>
      </c>
      <c r="E11" s="16">
        <f>SUMIF(Trabajadores!$B$5:$B$499,A11,Trabajadores!$E$5:$E$499)</f>
        <v>0</v>
      </c>
      <c r="F11" s="17">
        <f t="shared" si="0"/>
        <v>84</v>
      </c>
      <c r="G11" s="18">
        <f t="shared" si="1"/>
        <v>0</v>
      </c>
    </row>
    <row r="12" spans="1:7" x14ac:dyDescent="0.45">
      <c r="A12" s="15" t="s">
        <v>75</v>
      </c>
      <c r="B12" s="16">
        <f>COUNTIF(Trabajadores!$B$5:$B$499,A12)</f>
        <v>19</v>
      </c>
      <c r="C12" s="16">
        <f>COUNTIFS(Trabajadores!$B$5:$B$499,A12,Trabajadores!$C$5:$C$499,"&gt;="&amp;DATE(2026,1,1),Trabajadores!$C$5:$C$499,"&lt;="&amp;DATE(2026,12,31))</f>
        <v>4</v>
      </c>
      <c r="D12" s="16">
        <f>SUMIF(Trabajadores!$B$5:$B$499,A12,Trabajadores!$D$5:$D$499)</f>
        <v>302</v>
      </c>
      <c r="E12" s="16">
        <f>SUMIF(Trabajadores!$B$5:$B$499,A12,Trabajadores!$E$5:$E$499)</f>
        <v>61</v>
      </c>
      <c r="F12" s="17">
        <f t="shared" si="0"/>
        <v>241</v>
      </c>
      <c r="G12" s="18">
        <f t="shared" si="1"/>
        <v>0.20198675496688742</v>
      </c>
    </row>
    <row r="13" spans="1:7" x14ac:dyDescent="0.45">
      <c r="A13" s="15" t="s">
        <v>95</v>
      </c>
      <c r="B13" s="16">
        <f>COUNTIF(Trabajadores!$B$5:$B$499,A13)</f>
        <v>6</v>
      </c>
      <c r="C13" s="16">
        <f>COUNTIFS(Trabajadores!$B$5:$B$499,A13,Trabajadores!$C$5:$C$499,"&gt;="&amp;DATE(2026,1,1),Trabajadores!$C$5:$C$499,"&lt;="&amp;DATE(2026,12,31))</f>
        <v>5</v>
      </c>
      <c r="D13" s="16">
        <f>SUMIF(Trabajadores!$B$5:$B$499,A13,Trabajadores!$D$5:$D$499)</f>
        <v>74</v>
      </c>
      <c r="E13" s="16">
        <f>SUMIF(Trabajadores!$B$5:$B$499,A13,Trabajadores!$E$5:$E$499)</f>
        <v>14</v>
      </c>
      <c r="F13" s="17">
        <f t="shared" si="0"/>
        <v>60</v>
      </c>
      <c r="G13" s="18">
        <f t="shared" si="1"/>
        <v>0.1891891891891892</v>
      </c>
    </row>
    <row r="14" spans="1:7" x14ac:dyDescent="0.45">
      <c r="A14" s="15" t="s">
        <v>102</v>
      </c>
      <c r="B14" s="16">
        <f>COUNTIF(Trabajadores!$B$5:$B$499,A14)</f>
        <v>10</v>
      </c>
      <c r="C14" s="16">
        <f>COUNTIFS(Trabajadores!$B$5:$B$499,A14,Trabajadores!$C$5:$C$499,"&gt;="&amp;DATE(2026,1,1),Trabajadores!$C$5:$C$499,"&lt;="&amp;DATE(2026,12,31))</f>
        <v>2</v>
      </c>
      <c r="D14" s="16">
        <f>SUMIF(Trabajadores!$B$5:$B$499,A14,Trabajadores!$D$5:$D$499)</f>
        <v>130</v>
      </c>
      <c r="E14" s="16">
        <f>SUMIF(Trabajadores!$B$5:$B$499,A14,Trabajadores!$E$5:$E$499)</f>
        <v>38</v>
      </c>
      <c r="F14" s="17">
        <f t="shared" si="0"/>
        <v>92</v>
      </c>
      <c r="G14" s="18">
        <f t="shared" si="1"/>
        <v>0.29230769230769232</v>
      </c>
    </row>
    <row r="15" spans="1:7" x14ac:dyDescent="0.45">
      <c r="A15" s="15" t="s">
        <v>113</v>
      </c>
      <c r="B15" s="16">
        <f>COUNTIF(Trabajadores!$B$5:$B$499,A15)</f>
        <v>10</v>
      </c>
      <c r="C15" s="16">
        <f>COUNTIFS(Trabajadores!$B$5:$B$499,A15,Trabajadores!$C$5:$C$499,"&gt;="&amp;DATE(2026,1,1),Trabajadores!$C$5:$C$499,"&lt;="&amp;DATE(2026,12,31))</f>
        <v>5</v>
      </c>
      <c r="D15" s="16">
        <f>SUMIF(Trabajadores!$B$5:$B$499,A15,Trabajadores!$D$5:$D$499)</f>
        <v>134</v>
      </c>
      <c r="E15" s="16">
        <f>SUMIF(Trabajadores!$B$5:$B$499,A15,Trabajadores!$E$5:$E$499)</f>
        <v>18</v>
      </c>
      <c r="F15" s="17">
        <f t="shared" si="0"/>
        <v>116</v>
      </c>
      <c r="G15" s="18">
        <f t="shared" si="1"/>
        <v>0.13432835820895522</v>
      </c>
    </row>
    <row r="16" spans="1:7" x14ac:dyDescent="0.45">
      <c r="A16" s="19" t="s">
        <v>129</v>
      </c>
      <c r="B16" s="20">
        <f>SUM(B5:B15)</f>
        <v>100</v>
      </c>
      <c r="C16" s="20">
        <f>SUM(C5:C15)</f>
        <v>41</v>
      </c>
      <c r="D16" s="20">
        <f>SUM(D5:D15)</f>
        <v>1370</v>
      </c>
      <c r="E16" s="20">
        <f>SUM(E5:E15)</f>
        <v>261</v>
      </c>
      <c r="F16" s="20">
        <f>SUM(F5:F15)</f>
        <v>1109</v>
      </c>
      <c r="G16" s="21">
        <f t="shared" si="1"/>
        <v>0.1905109489051095</v>
      </c>
    </row>
    <row r="18" spans="1:2" x14ac:dyDescent="0.45">
      <c r="A18" s="22" t="s">
        <v>130</v>
      </c>
      <c r="B18" s="23" t="str">
        <f>IF(B16=COUNTA(Trabajadores!$A$5:$A$499),"OK","REVISAR")</f>
        <v>REVISAR</v>
      </c>
    </row>
    <row r="20" spans="1:2" x14ac:dyDescent="0.45">
      <c r="A20" s="24" t="s">
        <v>131</v>
      </c>
    </row>
  </sheetData>
  <mergeCells count="1">
    <mergeCell ref="A1:G2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Trabajadores</vt:lpstr>
      <vt:lpstr>Resumen</vt:lpstr>
      <vt:lpstr>Trabajadores!Área_de_impresión</vt:lpstr>
      <vt:lpstr>Trabajadores!Títulos_a_imprimir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Recursos humanos</cp:lastModifiedBy>
  <cp:revision>2</cp:revision>
  <dcterms:created xsi:type="dcterms:W3CDTF">2026-10-08T17:56:38Z</dcterms:created>
  <dcterms:modified xsi:type="dcterms:W3CDTF">2026-10-10T17:58:25Z</dcterms:modified>
  <dc:language>en-US</dc:language>
</cp:coreProperties>
</file>